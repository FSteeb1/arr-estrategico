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Respuestas de formulario 12" sheetId="2" r:id="rId6"/>
    <sheet state="visible" name="Respuestas de formulario 11" sheetId="3" r:id="rId7"/>
    <sheet state="visible" name="Respuestas de formulario 10" sheetId="4" r:id="rId8"/>
    <sheet state="visible" name="Respuestas de formulario 9" sheetId="5" r:id="rId9"/>
    <sheet state="visible" name="Respuestas de formulario 8" sheetId="6" r:id="rId10"/>
    <sheet state="visible" name="Respuestas de formulario 7" sheetId="7" r:id="rId11"/>
    <sheet state="visible" name="Respuestas de formulario 6" sheetId="8" r:id="rId12"/>
    <sheet state="visible" name="Respuestas de formulario 5" sheetId="9" r:id="rId13"/>
    <sheet state="visible" name="Respuestas de formulario 4" sheetId="10" r:id="rId14"/>
    <sheet state="visible" name="Respuestas de formulario 3" sheetId="11" r:id="rId15"/>
    <sheet state="visible" name="Respuestas de formulario 2" sheetId="12" r:id="rId16"/>
    <sheet state="visible" name="Respuestas de formulario 1" sheetId="13" r:id="rId17"/>
    <sheet state="visible" name="Hoja 1" sheetId="14" r:id="rId18"/>
  </sheets>
  <definedNames/>
  <calcPr/>
</workbook>
</file>

<file path=xl/sharedStrings.xml><?xml version="1.0" encoding="utf-8"?>
<sst xmlns="http://schemas.openxmlformats.org/spreadsheetml/2006/main" count="6762" uniqueCount="235">
  <si>
    <t>Marca temporal</t>
  </si>
  <si>
    <t>¿Quién tiene más dinero en la distribución inicial?</t>
  </si>
  <si>
    <t>¿Qué opción invierte qué receptor termina con más dinero respecto a los montos iniciales?</t>
  </si>
  <si>
    <t>¿Qué opción implica menor desigualdad final entre los receptores?</t>
  </si>
  <si>
    <t>¿Cuánto gana la persona en el rol DECISOR?</t>
  </si>
  <si>
    <t>¿Con qué elección un DECISOR puede obtener el mayor pago posible para sí mismo ($15.000)?</t>
  </si>
  <si>
    <t>¿Con qué elección un DECISOR puede obtener el menor pago posible para sí mismo ($2.500)?</t>
  </si>
  <si>
    <t>Si supieses que el otro DECISOR elige “No cooperar”¿Qué elección te da mayor pago?</t>
  </si>
  <si>
    <t>Si supiese que el otro decisor eligió “Cooperar” ¿Qué elección te da mayor pago?</t>
  </si>
  <si>
    <t>¿Con qué par de elecciones se obtiene el mayor pago sumando los pagos de las tres personas del grupo?</t>
  </si>
  <si>
    <t>¿Con qué par de elecciones se obtiene el menor pago sumando los pagos de las tres personas del grupo?</t>
  </si>
  <si>
    <t>Si una persona es DECISOR en el Dilema de la Distribución, ¿Qué rol va a tener en el Dilema de la Cooperación de ese mismo bloque?</t>
  </si>
  <si>
    <t>Si una persona es RECEPTOR en el Dilema de la Distribución, ¿Qué rol va a tener en el Dilema de la Cooperación de ese mismo bloque?</t>
  </si>
  <si>
    <t>¿Qué opción elegís en el Dilema de la Distribución?</t>
  </si>
  <si>
    <t>¿Qué opción elegís en el Dilema de la Distribución? 2</t>
  </si>
  <si>
    <t>Si estas prestando atención, elegí la opción 3</t>
  </si>
  <si>
    <t>¿Qué opción elegís en el Dilema de la Distribución? 3</t>
  </si>
  <si>
    <t>¿Qué opción elegís en el Dilema de la Distribución? 4</t>
  </si>
  <si>
    <t>¿Qué opción elegís en el Dilema de la Distribución? 5</t>
  </si>
  <si>
    <t>¿Qué opción elegís en el Dilema de la Distribución? 6</t>
  </si>
  <si>
    <t>¿Qué opción elegís en el Dilema de la Distribución? 7</t>
  </si>
  <si>
    <t>¿Qué opción elegís en el Dilema de la Distribución? 8</t>
  </si>
  <si>
    <t>¿Qué opción elegís en el Dilema de la Distribución? 9</t>
  </si>
  <si>
    <t>¿Qué opción elegís en el Dilema de la Distribución? 10</t>
  </si>
  <si>
    <t>¿Qué opción elegís en el Dilema de la Distribución? 11</t>
  </si>
  <si>
    <t>Si estas prestando atención, elegí la opción 3 2</t>
  </si>
  <si>
    <t>¿Qué opción elegís en el Dilema de la Distribución? 12</t>
  </si>
  <si>
    <t>¿Qué opción elegís en el Dilema de la Distribución? 13</t>
  </si>
  <si>
    <t>¿Qué opción elegís en el Dilema de la Distribución? 14</t>
  </si>
  <si>
    <t>¿Qué opción elegís en el Dilema de la Distribución? 15</t>
  </si>
  <si>
    <t>¿Qué opción elegís en el Dilema de la Distribución? 16</t>
  </si>
  <si>
    <t>¿Qué opción elegís en el Dilema de la Distribución? 17</t>
  </si>
  <si>
    <t>¿Qué opción elegís en el Dilema de la Distribución? 18</t>
  </si>
  <si>
    <t>Si estas prestando atención, elegí la opción 3 3</t>
  </si>
  <si>
    <t>¿Esperás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t>
  </si>
  <si>
    <t>¿Esperás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t>
  </si>
  <si>
    <t>¿Esperás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t>
  </si>
  <si>
    <t>Me atraen más los problemas muy complejos que los sencillos</t>
  </si>
  <si>
    <t>Me gusta tener la responsabilidad de encargarme de situaciones que requieren pensar mucho</t>
  </si>
  <si>
    <t xml:space="preserve">Pensar no responde a mi idea de la diversión </t>
  </si>
  <si>
    <t>Prefiero hacer algo que requiera pensar poco, a hacer algo que será un reto para mi capacidad intelectual</t>
  </si>
  <si>
    <t>Realmente me gustan las tareas que requieren encontrar nuevas soluciones a los problemas</t>
  </si>
  <si>
    <t xml:space="preserve">Prefiero una tarea que sea intelectual, difícil e importante, más que una que no requiera pensar mucho, sea o no sea importante </t>
  </si>
  <si>
    <t>Para salir adelante en la vida, algunas veces es necesario pasar por encima de otros grupos de personas</t>
  </si>
  <si>
    <t>Habría menos problemas si tratáramos a los diferentes grupos de manera más igualitaria</t>
  </si>
  <si>
    <t>Los grupos superiores deberían dominar a los grupos inferiores</t>
  </si>
  <si>
    <t>La igualdad entre grupos de personas debería ser nuestro ideal</t>
  </si>
  <si>
    <t>Es normal que haya grupos superiores y grupos inferiores</t>
  </si>
  <si>
    <t>Se debe aumentar la igualdad social</t>
  </si>
  <si>
    <t>Probablemente es bueno que ciertos grupos estén en una posición superior y otros en una posición inferior</t>
  </si>
  <si>
    <t>Debemos luchar por conseguir ingresos más igualitarios para todos</t>
  </si>
  <si>
    <t>Los grupos inferiores deberían mantenerse en su posición</t>
  </si>
  <si>
    <t>Sería deseable que todos los grupos fueran iguales</t>
  </si>
  <si>
    <t>Genero</t>
  </si>
  <si>
    <t>En política a veces se habla de "izquierda" y "derecha" para definir la orientación ideológica de una persona. Usando la siguiente escala, marcá la opción que mejor representa tu propio posicionamiento.</t>
  </si>
  <si>
    <t>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
Por favor, marcá el número de escalón donde creés que estás ubicado/a en este momento de tu vida en relación a otras personas de Argentina.</t>
  </si>
  <si>
    <t>E-mail</t>
  </si>
  <si>
    <t>La persona en el rol de RECEPTOR 1 (B)</t>
  </si>
  <si>
    <t>Opción 2</t>
  </si>
  <si>
    <t>$15.000 independientemente de su decisión</t>
  </si>
  <si>
    <t>No cooperar</t>
  </si>
  <si>
    <t>Cooperar</t>
  </si>
  <si>
    <t>Coopera - Coopera</t>
  </si>
  <si>
    <t>No coopera - No coopera</t>
  </si>
  <si>
    <t>Observador</t>
  </si>
  <si>
    <t>Decisor</t>
  </si>
  <si>
    <t>Opción 3</t>
  </si>
  <si>
    <t>Opción 1</t>
  </si>
  <si>
    <t>No espero ningún efecto</t>
  </si>
  <si>
    <t>La opción 2 incrementa la posibilidad de cooperación</t>
  </si>
  <si>
    <t>Mujer</t>
  </si>
  <si>
    <t>catadumrauf00@gmail.com</t>
  </si>
  <si>
    <t>La Opción 1 incrementa la probabilidad de cooperación</t>
  </si>
  <si>
    <t>La opción 1 incrementa la posibilidad de cooperación</t>
  </si>
  <si>
    <t>Hombre</t>
  </si>
  <si>
    <t>lucianoariasangalupe@gmail.com</t>
  </si>
  <si>
    <t>katianoelschmidt@gmail.com</t>
  </si>
  <si>
    <t>La Opción 2 incrementa la probabilidad de cooperación</t>
  </si>
  <si>
    <t>melissabanegas97@gmail.com</t>
  </si>
  <si>
    <t>dienzgo97@gmail.com</t>
  </si>
  <si>
    <t>mateoesmoli2000@protonmail.com</t>
  </si>
  <si>
    <t>luvgelena@gmail.com</t>
  </si>
  <si>
    <t>reteguii2000@gmail.com</t>
  </si>
  <si>
    <t>mauro.grizia@proton.me</t>
  </si>
  <si>
    <t>cuellofidela@gmail.com</t>
  </si>
  <si>
    <t>celinavictoria1@gmail.com</t>
  </si>
  <si>
    <t>carikrp@proton.me</t>
  </si>
  <si>
    <t>jeanmanzano@gmail.com</t>
  </si>
  <si>
    <t xml:space="preserve">monicatilotti@gmail.com </t>
  </si>
  <si>
    <t>estefaniamaggiolo@gmail.com</t>
  </si>
  <si>
    <t>No binario</t>
  </si>
  <si>
    <t>ikerfernandez01@gmail.com</t>
  </si>
  <si>
    <t>adrigonzalez6595@gmail.com</t>
  </si>
  <si>
    <t>gabischimpf@gmail.com</t>
  </si>
  <si>
    <t>Schumachermariela@gmail.com</t>
  </si>
  <si>
    <t>german.adaro@gmail.com</t>
  </si>
  <si>
    <t>juancruzdemendonca@gmail.com</t>
  </si>
  <si>
    <t>Receptor</t>
  </si>
  <si>
    <t>estiempodelte@gmail.com</t>
  </si>
  <si>
    <t>vicsaladiaz@gmail.com</t>
  </si>
  <si>
    <t>isadonnini9@gmail.com</t>
  </si>
  <si>
    <t>ayelenespie@gmail.com</t>
  </si>
  <si>
    <t>Agustinamancilla_@hotmail.com</t>
  </si>
  <si>
    <t>agustinochoa17@gmail.com</t>
  </si>
  <si>
    <t>gastoniacoponi@gmail.com</t>
  </si>
  <si>
    <t>abrilbohnarteaga@gmail.com</t>
  </si>
  <si>
    <t>roouberiaholtz@gmail.com</t>
  </si>
  <si>
    <t>javillarrealmurua@gmail.com</t>
  </si>
  <si>
    <t>aylen_reque14@hotmail.com</t>
  </si>
  <si>
    <t>luchistafolani@gmail.com</t>
  </si>
  <si>
    <t>Silviamabelp05@gmail.com</t>
  </si>
  <si>
    <t>jdopulos@yahoo.com.ar</t>
  </si>
  <si>
    <t>Maca_364@hotmail.com</t>
  </si>
  <si>
    <t>galomercer@hotmail.com</t>
  </si>
  <si>
    <t>tassaraagus@gmail.com</t>
  </si>
  <si>
    <t>Karinarocb@gmail.com</t>
  </si>
  <si>
    <t>melu.9.fdc@gmail.com</t>
  </si>
  <si>
    <t>santinagutierrez@hotmail.com</t>
  </si>
  <si>
    <t>acevdenise92@gmail.com</t>
  </si>
  <si>
    <t>grunewaldtomas@gmail.com</t>
  </si>
  <si>
    <t>manualmagro98@gmail.com</t>
  </si>
  <si>
    <t>nerifranco@hotmail.com.ar</t>
  </si>
  <si>
    <t>Lourdes.lezcano@hotmail.com</t>
  </si>
  <si>
    <t>tizianaduena2002@gmail.com</t>
  </si>
  <si>
    <t>marielkeil@gmail.com</t>
  </si>
  <si>
    <t>gabrielgasaku@gmail.com</t>
  </si>
  <si>
    <t>marialourdessanchez2001@gmail.com</t>
  </si>
  <si>
    <t>lic.florermantraut@gmail.com</t>
  </si>
  <si>
    <t>ybaratelli@gmail.com</t>
  </si>
  <si>
    <t>lautiyema12@gmail.com</t>
  </si>
  <si>
    <t>Jenny_negrin@hotmail.com</t>
  </si>
  <si>
    <t>roque2202@gmail.com</t>
  </si>
  <si>
    <t>aldi.antonini@gmail.com</t>
  </si>
  <si>
    <t>matyalej2002@gmail.com</t>
  </si>
  <si>
    <t xml:space="preserve">lararoldann@hotmail.com </t>
  </si>
  <si>
    <t>marc.97.37@gmail.com</t>
  </si>
  <si>
    <t>Kfannyayaviri@gmail.com</t>
  </si>
  <si>
    <t>azultersol@gmail.com</t>
  </si>
  <si>
    <t>solpaillalef98@gmail.com</t>
  </si>
  <si>
    <t>gerogardiee@gmail.com</t>
  </si>
  <si>
    <t>martasusanamiran@gmail.com</t>
  </si>
  <si>
    <t>valeriamansilla.gcp@gmail.com</t>
  </si>
  <si>
    <t>priscy007casalla@gmail.com</t>
  </si>
  <si>
    <t>luchii.vecchiotti@gmail.com</t>
  </si>
  <si>
    <t>laimedavid269@gmail.com</t>
  </si>
  <si>
    <t>noahmaisterrena@gmail.com</t>
  </si>
  <si>
    <t>antozengarini@hotmail.com</t>
  </si>
  <si>
    <t>florenciandino21@gmail.com</t>
  </si>
  <si>
    <t>Julidellarda@gmail.com</t>
  </si>
  <si>
    <t>franpetruccelli.020@gmail.com</t>
  </si>
  <si>
    <t>iriartemavictoria@gmail.com</t>
  </si>
  <si>
    <t>tom2002bau@gmail.com</t>
  </si>
  <si>
    <t>cintiacasarete1590@gmail.com</t>
  </si>
  <si>
    <t>belu.teatro@gmail.com</t>
  </si>
  <si>
    <t>fede.fg13@gmail.com</t>
  </si>
  <si>
    <t>dany.ea@hotmail.com.ar</t>
  </si>
  <si>
    <t>marifercs2003@gmail.com</t>
  </si>
  <si>
    <t>Tamarawalter20@gmail.com</t>
  </si>
  <si>
    <t>Marmrcs@gmail.com</t>
  </si>
  <si>
    <t xml:space="preserv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t>
  </si>
  <si>
    <t xml:space="preserve">cande.29.jz@gmail.com </t>
  </si>
  <si>
    <t>diego.rojas2001@hotmail.com</t>
  </si>
  <si>
    <t>ivanromerorc@gmail.com</t>
  </si>
  <si>
    <t>aylenatay@gmail.com</t>
  </si>
  <si>
    <t>Florenciasinconi@gmail.com</t>
  </si>
  <si>
    <t>Steffy.sanudo@gmail.com</t>
  </si>
  <si>
    <t>andrescentani@gmail.com</t>
  </si>
  <si>
    <t>mitzizstefano@gmail.com</t>
  </si>
  <si>
    <t>florenciamosman@gmail.com</t>
  </si>
  <si>
    <t>fuhralbana@gmail.com</t>
  </si>
  <si>
    <t>Pilarfaggiani@gmail.com</t>
  </si>
  <si>
    <t>lglorenzetti@gmail.com</t>
  </si>
  <si>
    <t>dimieri17@gmail.com</t>
  </si>
  <si>
    <t>mmara953@gmail.com</t>
  </si>
  <si>
    <t>camilaborsini21@outlook.com</t>
  </si>
  <si>
    <t>giulianagenchi@gmail.com</t>
  </si>
  <si>
    <t>dalo_vidpez@hotmail.com.ar</t>
  </si>
  <si>
    <t>gastonagustin09@gmail.com</t>
  </si>
  <si>
    <t>Shuly.97.7@gmail.com</t>
  </si>
  <si>
    <t>camipau117@gmail.com</t>
  </si>
  <si>
    <t>eve.roht@gmail.com</t>
  </si>
  <si>
    <t>Manusanchezchaves@gmail.com</t>
  </si>
  <si>
    <t>Mariasolgalindez00@gmail.com</t>
  </si>
  <si>
    <t>guana_santos@hotmail.com</t>
  </si>
  <si>
    <t>mairossinii@gmail.com</t>
  </si>
  <si>
    <t>francocornachoni@gmail.com</t>
  </si>
  <si>
    <t>Rodrigoagustinrodriguez@hotmail.com</t>
  </si>
  <si>
    <t>Carolaflorencia96@gmail.com</t>
  </si>
  <si>
    <t>lucas23.quiroga@gmail.com</t>
  </si>
  <si>
    <t>lojorro@gmail.com</t>
  </si>
  <si>
    <t>Rnahuelfil@gmail.com</t>
  </si>
  <si>
    <t>djdarkok@gmail.com</t>
  </si>
  <si>
    <t>camilardicroce@gmail.com</t>
  </si>
  <si>
    <t>constanzamacri@gmail.com</t>
  </si>
  <si>
    <t>agustinacasco16.11.96@gmail.com</t>
  </si>
  <si>
    <t>micaela.castano123@gmail.com</t>
  </si>
  <si>
    <t>carreredalila@gmail.com</t>
  </si>
  <si>
    <t>nagusosa@gmail.com</t>
  </si>
  <si>
    <t>Aylen_castrodellorusso@hotmail.com</t>
  </si>
  <si>
    <t>lorentemariacandela@gmail.com</t>
  </si>
  <si>
    <t>valentinasmoilis@gmail.com</t>
  </si>
  <si>
    <t>larribite59@gmail.com</t>
  </si>
  <si>
    <t>victorializarraga77@gmail.com</t>
  </si>
  <si>
    <t>brenbertin@gmail.com</t>
  </si>
  <si>
    <t>carocaprin@gmail.com</t>
  </si>
  <si>
    <t>ilverelmejor@gmail.com</t>
  </si>
  <si>
    <t>Sabrideclasico@gmail.com</t>
  </si>
  <si>
    <t>trinimateos22@gmail.com</t>
  </si>
  <si>
    <t>Pauwattson@gmail.com</t>
  </si>
  <si>
    <t>noemiamirez352@gmail.com</t>
  </si>
  <si>
    <t>Evelin.arias.3954@gmail.com</t>
  </si>
  <si>
    <t>abril.na.p@gmail.com</t>
  </si>
  <si>
    <t>anagomba@abc.gob.ar</t>
  </si>
  <si>
    <t>Luciaq.a@hotmail.com</t>
  </si>
  <si>
    <t>victoriae_quintas@hotmail.com</t>
  </si>
  <si>
    <t>valentin.belloli55@gmail.com</t>
  </si>
  <si>
    <t>karencocha@yahoo.com.ar</t>
  </si>
  <si>
    <t>germi.rach2003@gmail.com</t>
  </si>
  <si>
    <t>braianuns08@gmail.com</t>
  </si>
  <si>
    <t>23alanbertin@gmail.com</t>
  </si>
  <si>
    <t>Tacchettibelen4@gmail.com</t>
  </si>
  <si>
    <t>lopez.geronimo221@gmail.com</t>
  </si>
  <si>
    <t>martinacobian111@gmail.com</t>
  </si>
  <si>
    <t>lucho_purre@hotmail.com</t>
  </si>
  <si>
    <t>pamelakerman@hotmail.com</t>
  </si>
  <si>
    <t>sofiatiete@gmail.com</t>
  </si>
  <si>
    <t>Imanol.1779@gmail.com</t>
  </si>
  <si>
    <t>Agustina.097c@gmail.com</t>
  </si>
  <si>
    <t>guillerminaginginsvignolo@gmail.com</t>
  </si>
  <si>
    <t>marienbualo@gmail.com</t>
  </si>
  <si>
    <t>lourdesalbanesicbc@gmail.com</t>
  </si>
  <si>
    <t>agusssantarelli@gmail.com</t>
  </si>
  <si>
    <t>Veramariana.m@outlook.es</t>
  </si>
  <si>
    <t>tminadeluca@gmail.com</t>
  </si>
  <si>
    <t>sarmientotami1@gmail.com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</si>
</sst>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2">
    <tableStyle count="4" pivot="0" name="Respuestas de formulario 12-style">
      <tableStyleElement dxfId="1" type="headerRow"/>
      <tableStyleElement dxfId="2" type="firstRowStripe"/>
      <tableStyleElement dxfId="3" type="secondRowStripe"/>
      <tableStyleElement dxfId="4" size="0" type="wholeTable"/>
    </tableStyle>
    <tableStyle count="4" pivot="0" name="Respuestas de formulario 11-style">
      <tableStyleElement dxfId="1" type="headerRow"/>
      <tableStyleElement dxfId="2" type="firstRowStripe"/>
      <tableStyleElement dxfId="3" type="secondRowStripe"/>
      <tableStyleElement dxfId="4" size="0" type="wholeTable"/>
    </tableStyle>
    <tableStyle count="4" pivot="0" name="Respuestas de formulario 10-style">
      <tableStyleElement dxfId="1" type="headerRow"/>
      <tableStyleElement dxfId="2" type="firstRowStripe"/>
      <tableStyleElement dxfId="3" type="secondRowStripe"/>
      <tableStyleElement dxfId="4" size="0" type="wholeTable"/>
    </tableStyle>
    <tableStyle count="4" pivot="0" name="Respuestas de formulario 9-style">
      <tableStyleElement dxfId="1" type="headerRow"/>
      <tableStyleElement dxfId="2" type="firstRowStripe"/>
      <tableStyleElement dxfId="3" type="secondRowStripe"/>
      <tableStyleElement dxfId="4" size="0" type="wholeTable"/>
    </tableStyle>
    <tableStyle count="4" pivot="0" name="Respuestas de formulario 8-style">
      <tableStyleElement dxfId="1" type="headerRow"/>
      <tableStyleElement dxfId="2" type="firstRowStripe"/>
      <tableStyleElement dxfId="3" type="secondRowStripe"/>
      <tableStyleElement dxfId="4" size="0" type="wholeTable"/>
    </tableStyle>
    <tableStyle count="4" pivot="0" name="Respuestas de formulario 7-style">
      <tableStyleElement dxfId="1" type="headerRow"/>
      <tableStyleElement dxfId="2" type="firstRowStripe"/>
      <tableStyleElement dxfId="3" type="secondRowStripe"/>
      <tableStyleElement dxfId="4" size="0" type="wholeTable"/>
    </tableStyle>
    <tableStyle count="4" pivot="0" name="Respuestas de formulario 6-style">
      <tableStyleElement dxfId="1" type="headerRow"/>
      <tableStyleElement dxfId="2" type="firstRowStripe"/>
      <tableStyleElement dxfId="3" type="secondRowStripe"/>
      <tableStyleElement dxfId="4" size="0" type="wholeTable"/>
    </tableStyle>
    <tableStyle count="4" pivot="0" name="Respuestas de formulario 5-style">
      <tableStyleElement dxfId="1" type="headerRow"/>
      <tableStyleElement dxfId="2" type="firstRowStripe"/>
      <tableStyleElement dxfId="3" type="secondRowStripe"/>
      <tableStyleElement dxfId="4" size="0" type="wholeTable"/>
    </tableStyle>
    <tableStyle count="4" pivot="0" name="Respuestas de formulario 4-style">
      <tableStyleElement dxfId="1" type="headerRow"/>
      <tableStyleElement dxfId="2" type="firstRowStripe"/>
      <tableStyleElement dxfId="3" type="secondRowStripe"/>
      <tableStyleElement dxfId="4" size="0" type="wholeTable"/>
    </tableStyle>
    <tableStyle count="4" pivot="0" name="Respuestas de formulario 3-style">
      <tableStyleElement dxfId="1" type="headerRow"/>
      <tableStyleElement dxfId="2" type="firstRowStripe"/>
      <tableStyleElement dxfId="3" type="secondRowStripe"/>
      <tableStyleElement dxfId="4" size="0" type="wholeTable"/>
    </tableStyle>
    <tableStyle count="4" pivot="0" name="Respuestas de formulario 2-style">
      <tableStyleElement dxfId="1" type="headerRow"/>
      <tableStyleElement dxfId="2" type="firstRowStripe"/>
      <tableStyleElement dxfId="3" type="secondRowStripe"/>
      <tableStyleElement dxfId="4" size="0" type="wholeTable"/>
    </tableStyle>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E12" displayName="Form_Responses12" name="Form_Responses12" id="1">
  <tableColumns count="57">
    <tableColumn name="Marca temporal" id="1"/>
    <tableColumn name="¿Quién tiene más dinero en la distribución inicial?" id="2"/>
    <tableColumn name="¿Qué opción invierte qué receptor termina con más dinero respecto a los montos iniciales?" id="3"/>
    <tableColumn name="¿Qué opción implica menor desigualdad final entre los receptores?" id="4"/>
    <tableColumn name="¿Cuánto gana la persona en el rol DECISOR?" id="5"/>
    <tableColumn name="¿Con qué elección un DECISOR puede obtener el mayor pago posible para sí mismo ($15.000)?" id="6"/>
    <tableColumn name="¿Con qué elección un DECISOR puede obtener el menor pago posible para sí mismo ($2.500)?" id="7"/>
    <tableColumn name="Si supieses que el otro DECISOR elige “No cooperar”¿Qué elección te da mayor pago?" id="8"/>
    <tableColumn name="Si supiese que el otro decisor eligió “Cooperar” ¿Qué elección te da mayor pago?" id="9"/>
    <tableColumn name="¿Con qué par de elecciones se obtiene el mayor pago sumando los pagos de las tres personas del grupo?" id="10"/>
    <tableColumn name="¿Con qué par de elecciones se obtiene el menor pago sumando los pagos de las tres personas del grupo?" id="11"/>
    <tableColumn name="Si una persona es DECISOR en el Dilema de la Distribución, ¿Qué rol va a tener en el Dilema de la Cooperación de ese mismo bloque?" id="12"/>
    <tableColumn name="Si una persona es RECEPTOR en el Dilema de la Distribución, ¿Qué rol va a tener en el Dilema de la Cooperación de ese mismo bloque?" id="13"/>
    <tableColumn name="¿Qué opción elegís en el Dilema de la Distribución?" id="14"/>
    <tableColumn name="¿Qué opción elegís en el Dilema de la Distribución? 2" id="15"/>
    <tableColumn name="Si estas prestando atención, elegí la opción 3" id="16"/>
    <tableColumn name="¿Qué opción elegís en el Dilema de la Distribución? 3" id="17"/>
    <tableColumn name="¿Qué opción elegís en el Dilema de la Distribución? 4" id="18"/>
    <tableColumn name="¿Qué opción elegís en el Dilema de la Distribución? 5" id="19"/>
    <tableColumn name="¿Qué opción elegís en el Dilema de la Distribución? 6" id="20"/>
    <tableColumn name="¿Qué opción elegís en el Dilema de la Distribución? 7" id="21"/>
    <tableColumn name="¿Qué opción elegís en el Dilema de la Distribución? 8" id="22"/>
    <tableColumn name="¿Qué opción elegís en el Dilema de la Distribución? 9" id="23"/>
    <tableColumn name="¿Qué opción elegís en el Dilema de la Distribución? 10" id="24"/>
    <tableColumn name="¿Qué opción elegís en el Dilema de la Distribución? 11" id="25"/>
    <tableColumn name="Si estas prestando atención, elegí la opción 3 2" id="26"/>
    <tableColumn name="¿Qué opción elegís en el Dilema de la Distribución? 12" id="27"/>
    <tableColumn name="¿Qué opción elegís en el Dilema de la Distribución? 13" id="28"/>
    <tableColumn name="¿Qué opción elegís en el Dilema de la Distribución? 14" id="29"/>
    <tableColumn name="¿Qué opción elegís en el Dilema de la Distribución? 15" id="30"/>
    <tableColumn name="¿Qué opción elegís en el Dilema de la Distribución? 16" id="31"/>
    <tableColumn name="¿Qué opción elegís en el Dilema de la Distribución? 17" id="32"/>
    <tableColumn name="¿Qué opción elegís en el Dilema de la Distribución? 18" id="33"/>
    <tableColumn name="Si estas prestando atención, elegí la opción 3 3" id="34"/>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5"/>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6"/>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 id="37"/>
    <tableColumn name="Me atraen más los problemas muy complejos que los sencillos" id="38"/>
    <tableColumn name="Me gusta tener la responsabilidad de encargarme de situaciones que requieren pensar mucho" id="39"/>
    <tableColumn name="Pensar no responde a mi idea de la diversión " id="40"/>
    <tableColumn name="Prefiero hacer algo que requiera pensar poco, a hacer algo que será un reto para mi capacidad intelectual" id="41"/>
    <tableColumn name="Realmente me gustan las tareas que requieren encontrar nuevas soluciones a los problemas" id="42"/>
    <tableColumn name="Prefiero una tarea que sea intelectual, difícil e importante, más que una que no requiera pensar mucho, sea o no sea importante " id="43"/>
    <tableColumn name="Para salir adelante en la vida, algunas veces es necesario pasar por encima de otros grupos de personas" id="44"/>
    <tableColumn name="Habría menos problemas si tratáramos a los diferentes grupos de manera más igualitaria" id="45"/>
    <tableColumn name="Los grupos superiores deberían dominar a los grupos inferiores" id="46"/>
    <tableColumn name="La igualdad entre grupos de personas debería ser nuestro ideal" id="47"/>
    <tableColumn name="Es normal que haya grupos superiores y grupos inferiores" id="48"/>
    <tableColumn name="Se debe aumentar la igualdad social" id="49"/>
    <tableColumn name="Probablemente es bueno que ciertos grupos estén en una posición superior y otros en una posición inferior" id="50"/>
    <tableColumn name="Debemos luchar por conseguir ingresos más igualitarios para todos" id="51"/>
    <tableColumn name="Los grupos inferiores deberían mantenerse en su posición" id="52"/>
    <tableColumn name="Sería deseable que todos los grupos fueran iguales" id="53"/>
    <tableColumn name="Genero" id="54"/>
    <tableColumn name="En política a veces se habla de &quot;izquierda&quot; y &quot;derecha&quot; para definir la orientación ideológica de una persona. Usando la siguiente escala, marcá la opción que mejor representa tu propio posicionamiento." id="55"/>
    <tableColumn name="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_x000a__x000a_Por favor, marcá el número de escalón donde creés que estás ubicado/a en este momento de tu vida en relación a otras personas de Argentina." id="56"/>
    <tableColumn name="E-mail" id="57"/>
  </tableColumns>
  <tableStyleInfo name="Respuestas de formulario 12-style" showColumnStripes="0" showFirstColumn="1" showLastColumn="1" showRowStripes="1"/>
</table>
</file>

<file path=xl/tables/table2.xml><?xml version="1.0" encoding="utf-8"?>
<table xmlns="http://schemas.openxmlformats.org/spreadsheetml/2006/main" ref="A1:BE19" displayName="Form_Responses11" name="Form_Responses11" id="2">
  <tableColumns count="57">
    <tableColumn name="Marca temporal" id="1"/>
    <tableColumn name="¿Quién tiene más dinero en la distribución inicial?" id="2"/>
    <tableColumn name="¿Qué opción invierte qué receptor termina con más dinero respecto a los montos iniciales?" id="3"/>
    <tableColumn name="¿Qué opción implica menor desigualdad final entre los receptores?" id="4"/>
    <tableColumn name="¿Cuánto gana la persona en el rol DECISOR?" id="5"/>
    <tableColumn name="¿Con qué elección un DECISOR puede obtener el mayor pago posible para sí mismo ($15.000)?" id="6"/>
    <tableColumn name="¿Con qué elección un DECISOR puede obtener el menor pago posible para sí mismo ($2.500)?" id="7"/>
    <tableColumn name="Si supieses que el otro DECISOR elige “No cooperar”¿Qué elección te da mayor pago?" id="8"/>
    <tableColumn name="Si supiese que el otro decisor eligió “Cooperar” ¿Qué elección te da mayor pago?" id="9"/>
    <tableColumn name="¿Con qué par de elecciones se obtiene el mayor pago sumando los pagos de las tres personas del grupo?" id="10"/>
    <tableColumn name="¿Con qué par de elecciones se obtiene el menor pago sumando los pagos de las tres personas del grupo?" id="11"/>
    <tableColumn name="Si una persona es DECISOR en el Dilema de la Distribución, ¿Qué rol va a tener en el Dilema de la Cooperación de ese mismo bloque?" id="12"/>
    <tableColumn name="Si una persona es RECEPTOR en el Dilema de la Distribución, ¿Qué rol va a tener en el Dilema de la Cooperación de ese mismo bloque?" id="13"/>
    <tableColumn name="¿Qué opción elegís en el Dilema de la Distribución?" id="14"/>
    <tableColumn name="¿Qué opción elegís en el Dilema de la Distribución? 2" id="15"/>
    <tableColumn name="Si estas prestando atención, elegí la opción 3" id="16"/>
    <tableColumn name="¿Qué opción elegís en el Dilema de la Distribución? 3" id="17"/>
    <tableColumn name="¿Qué opción elegís en el Dilema de la Distribución? 4" id="18"/>
    <tableColumn name="¿Qué opción elegís en el Dilema de la Distribución? 5" id="19"/>
    <tableColumn name="¿Qué opción elegís en el Dilema de la Distribución? 6" id="20"/>
    <tableColumn name="¿Qué opción elegís en el Dilema de la Distribución? 7" id="21"/>
    <tableColumn name="Si estas prestando atención, elegí la opción 3 2" id="22"/>
    <tableColumn name="¿Qué opción elegís en el Dilema de la Distribución? 8" id="23"/>
    <tableColumn name="¿Qué opción elegís en el Dilema de la Distribución? 9" id="24"/>
    <tableColumn name="¿Qué opción elegís en el Dilema de la Distribución? 10" id="25"/>
    <tableColumn name="¿Qué opción elegís en el Dilema de la Distribución? 11" id="26"/>
    <tableColumn name="¿Qué opción elegís en el Dilema de la Distribución? 12" id="27"/>
    <tableColumn name="¿Qué opción elegís en el Dilema de la Distribución? 13" id="28"/>
    <tableColumn name="¿Qué opción elegís en el Dilema de la Distribución? 14" id="29"/>
    <tableColumn name="¿Qué opción elegís en el Dilema de la Distribución? 15" id="30"/>
    <tableColumn name="¿Qué opción elegís en el Dilema de la Distribución? 16" id="31"/>
    <tableColumn name="¿Qué opción elegís en el Dilema de la Distribución? 17" id="32"/>
    <tableColumn name="Si estas prestando atención, elegí la opción 3 3" id="33"/>
    <tableColumn name="¿Qué opción elegís en el Dilema de la Distribución? 18" id="34"/>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5"/>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6"/>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 id="37"/>
    <tableColumn name="Me atraen más los problemas muy complejos que los sencillos" id="38"/>
    <tableColumn name="Me gusta tener la responsabilidad de encargarme de situaciones que requieren pensar mucho" id="39"/>
    <tableColumn name="Pensar no responde a mi idea de la diversión " id="40"/>
    <tableColumn name="Prefiero hacer algo que requiera pensar poco, a hacer algo que será un reto para mi capacidad intelectual" id="41"/>
    <tableColumn name="Realmente me gustan las tareas que requieren encontrar nuevas soluciones a los problemas" id="42"/>
    <tableColumn name="Prefiero una tarea que sea intelectual, difícil e importante, más que una que no requiera pensar mucho, sea o no sea importante " id="43"/>
    <tableColumn name="Para salir adelante en la vida, algunas veces es necesario pasar por encima de otros grupos de personas" id="44"/>
    <tableColumn name="Habría menos problemas si tratáramos a los diferentes grupos de manera más igualitaria" id="45"/>
    <tableColumn name="Los grupos superiores deberían dominar a los grupos inferiores" id="46"/>
    <tableColumn name="La igualdad entre grupos de personas debería ser nuestro ideal" id="47"/>
    <tableColumn name="Es normal que haya grupos superiores y grupos inferiores" id="48"/>
    <tableColumn name="Se debe aumentar la igualdad social" id="49"/>
    <tableColumn name="Probablemente es bueno que ciertos grupos estén en una posición superior y otros en una posición inferior" id="50"/>
    <tableColumn name="Debemos luchar por conseguir ingresos más igualitarios para todos" id="51"/>
    <tableColumn name="Los grupos inferiores deberían mantenerse en su posición" id="52"/>
    <tableColumn name="Sería deseable que todos los grupos fueran iguales" id="53"/>
    <tableColumn name="Genero" id="54"/>
    <tableColumn name="En política a veces se habla de &quot;izquierda&quot; y &quot;derecha&quot; para definir la orientación ideológica de una persona. Usando la siguiente escala, marcá la opción que mejor representa tu propio posicionamiento." id="55"/>
    <tableColumn name="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_x000a__x000a_Por favor, marcá el número de escalón donde creés que estás ubicado/a en este momento de tu vida en relación a otras personas de Argentina." id="56"/>
    <tableColumn name="E-mail" id="57"/>
  </tableColumns>
  <tableStyleInfo name="Respuestas de formulario 11-style" showColumnStripes="0" showFirstColumn="1" showLastColumn="1" showRowStripes="1"/>
</table>
</file>

<file path=xl/tables/table3.xml><?xml version="1.0" encoding="utf-8"?>
<table xmlns="http://schemas.openxmlformats.org/spreadsheetml/2006/main" ref="A1:BE16" displayName="Form_Responses10" name="Form_Responses10" id="3">
  <tableColumns count="57">
    <tableColumn name="Marca temporal" id="1"/>
    <tableColumn name="¿Quién tiene más dinero en la distribución inicial?" id="2"/>
    <tableColumn name="¿Qué opción invierte qué receptor termina con más dinero respecto a los montos iniciales?" id="3"/>
    <tableColumn name="¿Qué opción implica menor desigualdad final entre los receptores?" id="4"/>
    <tableColumn name="¿Cuánto gana la persona en el rol DECISOR?" id="5"/>
    <tableColumn name="¿Con qué elección un DECISOR puede obtener el mayor pago posible para sí mismo ($15.000)?" id="6"/>
    <tableColumn name="¿Con qué elección un DECISOR puede obtener el menor pago posible para sí mismo ($2.500)?" id="7"/>
    <tableColumn name="Si supieses que el otro DECISOR elige “No cooperar”¿Qué elección te da mayor pago?" id="8"/>
    <tableColumn name="Si supiese que el otro decisor eligió “Cooperar” ¿Qué elección te da mayor pago?" id="9"/>
    <tableColumn name="¿Con qué par de elecciones se obtiene el mayor pago sumando los pagos de las tres personas del grupo?" id="10"/>
    <tableColumn name="¿Con qué par de elecciones se obtiene el menor pago sumando los pagos de las tres personas del grupo?" id="11"/>
    <tableColumn name="Si una persona es DECISOR en el Dilema de la Distribución, ¿Qué rol va a tener en el Dilema de la Cooperación de ese mismo bloque?" id="12"/>
    <tableColumn name="Si una persona es RECEPTOR en el Dilema de la Distribución, ¿Qué rol va a tener en el Dilema de la Cooperación de ese mismo bloque?" id="13"/>
    <tableColumn name="¿Qué opción elegís en el Dilema de la Distribución?" id="14"/>
    <tableColumn name="¿Qué opción elegís en el Dilema de la Distribución? 2" id="15"/>
    <tableColumn name="¿Qué opción elegís en el Dilema de la Distribución? 3" id="16"/>
    <tableColumn name="¿Qué opción elegís en el Dilema de la Distribución? 4" id="17"/>
    <tableColumn name="¿Qué opción elegís en el Dilema de la Distribución? 5" id="18"/>
    <tableColumn name="Si estas prestando atención, elegí la opción 3" id="19"/>
    <tableColumn name="¿Qué opción elegís en el Dilema de la Distribución? 6" id="20"/>
    <tableColumn name="¿Qué opción elegís en el Dilema de la Distribución? 7" id="21"/>
    <tableColumn name="¿Qué opción elegís en el Dilema de la Distribución? 8" id="22"/>
    <tableColumn name="¿Qué opción elegís en el Dilema de la Distribución? 9" id="23"/>
    <tableColumn name="Si estas prestando atención, elegí la opción 3 2" id="24"/>
    <tableColumn name="¿Qué opción elegís en el Dilema de la Distribución? 10" id="25"/>
    <tableColumn name="¿Qué opción elegís en el Dilema de la Distribución? 11" id="26"/>
    <tableColumn name="¿Qué opción elegís en el Dilema de la Distribución? 12" id="27"/>
    <tableColumn name="¿Qué opción elegís en el Dilema de la Distribución? 13" id="28"/>
    <tableColumn name="Si estas prestando atención, elegí la opción 3 3" id="29"/>
    <tableColumn name="¿Qué opción elegís en el Dilema de la Distribución? 14" id="30"/>
    <tableColumn name="¿Qué opción elegís en el Dilema de la Distribución? 15" id="31"/>
    <tableColumn name="¿Qué opción elegís en el Dilema de la Distribución? 16" id="32"/>
    <tableColumn name="¿Qué opción elegís en el Dilema de la Distribución? 17" id="33"/>
    <tableColumn name="¿Qué opción elegís en el Dilema de la Distribución? 18" id="34"/>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5"/>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6"/>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 id="37"/>
    <tableColumn name="Me atraen más los problemas muy complejos que los sencillos" id="38"/>
    <tableColumn name="Me gusta tener la responsabilidad de encargarme de situaciones que requieren pensar mucho" id="39"/>
    <tableColumn name="Pensar no responde a mi idea de la diversión " id="40"/>
    <tableColumn name="Prefiero hacer algo que requiera pensar poco, a hacer algo que será un reto para mi capacidad intelectual" id="41"/>
    <tableColumn name="Realmente me gustan las tareas que requieren encontrar nuevas soluciones a los problemas" id="42"/>
    <tableColumn name="Prefiero una tarea que sea intelectual, difícil e importante, más que una que no requiera pensar mucho, sea o no sea importante " id="43"/>
    <tableColumn name="Para salir adelante en la vida, algunas veces es necesario pasar por encima de otros grupos de personas" id="44"/>
    <tableColumn name="Habría menos problemas si tratáramos a los diferentes grupos de manera más igualitaria" id="45"/>
    <tableColumn name="Los grupos superiores deberían dominar a los grupos inferiores" id="46"/>
    <tableColumn name="La igualdad entre grupos de personas debería ser nuestro ideal" id="47"/>
    <tableColumn name="Es normal que haya grupos superiores y grupos inferiores" id="48"/>
    <tableColumn name="Se debe aumentar la igualdad social" id="49"/>
    <tableColumn name="Probablemente es bueno que ciertos grupos estén en una posición superior y otros en una posición inferior" id="50"/>
    <tableColumn name="Debemos luchar por conseguir ingresos más igualitarios para todos" id="51"/>
    <tableColumn name="Los grupos inferiores deberían mantenerse en su posición" id="52"/>
    <tableColumn name="Sería deseable que todos los grupos fueran iguales" id="53"/>
    <tableColumn name="Genero" id="54"/>
    <tableColumn name="En política a veces se habla de &quot;izquierda&quot; y &quot;derecha&quot; para definir la orientación ideológica de una persona. Usando la siguiente escala, marcá la opción que mejor representa tu propio posicionamiento." id="55"/>
    <tableColumn name="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_x000a__x000a_Por favor, marcá el número de escalón donde creés que estás ubicado/a en este momento de tu vida en relación a otras personas de Argentina." id="56"/>
    <tableColumn name="E-mail" id="57"/>
  </tableColumns>
  <tableStyleInfo name="Respuestas de formulario 10-style" showColumnStripes="0" showFirstColumn="1" showLastColumn="1" showRowStripes="1"/>
</table>
</file>

<file path=xl/tables/table4.xml><?xml version="1.0" encoding="utf-8"?>
<table xmlns="http://schemas.openxmlformats.org/spreadsheetml/2006/main" ref="A1:BE13" displayName="Form_Responses9" name="Form_Responses9" id="4">
  <tableColumns count="57">
    <tableColumn name="Marca temporal" id="1"/>
    <tableColumn name="¿Quién tiene más dinero en la distribución inicial?" id="2"/>
    <tableColumn name="¿Qué opción invierte qué receptor termina con más dinero respecto a los montos iniciales?" id="3"/>
    <tableColumn name="¿Qué opción implica menor desigualdad final entre los receptores?" id="4"/>
    <tableColumn name="¿Cuánto gana la persona en el rol DECISOR?" id="5"/>
    <tableColumn name="¿Con qué elección un DECISOR puede obtener el mayor pago posible para sí mismo ($15.000)?" id="6"/>
    <tableColumn name="¿Con qué elección un DECISOR puede obtener el menor pago posible para sí mismo ($2.500)?" id="7"/>
    <tableColumn name="Si supieses que el otro DECISOR elige “No cooperar”¿Qué elección te da mayor pago?" id="8"/>
    <tableColumn name="Si supiese que el otro decisor eligió “Cooperar” ¿Qué elección te da mayor pago?" id="9"/>
    <tableColumn name="¿Con qué par de elecciones se obtiene el mayor pago sumando los pagos de las tres personas del grupo?" id="10"/>
    <tableColumn name="¿Con qué par de elecciones se obtiene el menor pago sumando los pagos de las tres personas del grupo?" id="11"/>
    <tableColumn name="Si una persona es DECISOR en el Dilema de la Distribución, ¿Qué rol va a tener en el Dilema de la Cooperación de ese mismo bloque?" id="12"/>
    <tableColumn name="Si una persona es RECEPTOR en el Dilema de la Distribución, ¿Qué rol va a tener en el Dilema de la Cooperación de ese mismo bloque?" id="13"/>
    <tableColumn name="¿Qué opción elegís en el Dilema de la Distribución?" id="14"/>
    <tableColumn name="¿Qué opción elegís en el Dilema de la Distribución? 2" id="15"/>
    <tableColumn name="Si estas prestando atención, elegí la opción 3" id="16"/>
    <tableColumn name="¿Qué opción elegís en el Dilema de la Distribución? 3" id="17"/>
    <tableColumn name="¿Qué opción elegís en el Dilema de la Distribución? 4" id="18"/>
    <tableColumn name="¿Qué opción elegís en el Dilema de la Distribución? 5" id="19"/>
    <tableColumn name="¿Qué opción elegís en el Dilema de la Distribución? 6" id="20"/>
    <tableColumn name="¿Qué opción elegís en el Dilema de la Distribución? 7" id="21"/>
    <tableColumn name="¿Qué opción elegís en el Dilema de la Distribución? 8" id="22"/>
    <tableColumn name="¿Qué opción elegís en el Dilema de la Distribución? 9" id="23"/>
    <tableColumn name="¿Qué opción elegís en el Dilema de la Distribución? 10" id="24"/>
    <tableColumn name="¿Qué opción elegís en el Dilema de la Distribución? 11" id="25"/>
    <tableColumn name="¿Qué opción elegís en el Dilema de la Distribución? 12" id="26"/>
    <tableColumn name="Si estas prestando atención, elegí la opción 3 2" id="27"/>
    <tableColumn name="¿Qué opción elegís en el Dilema de la Distribución? 13" id="28"/>
    <tableColumn name="¿Qué opción elegís en el Dilema de la Distribución? 14" id="29"/>
    <tableColumn name="¿Qué opción elegís en el Dilema de la Distribución? 15" id="30"/>
    <tableColumn name="¿Qué opción elegís en el Dilema de la Distribución? 16" id="31"/>
    <tableColumn name="¿Qué opción elegís en el Dilema de la Distribución? 17" id="32"/>
    <tableColumn name="Si estas prestando atención, elegí la opción 3 3" id="33"/>
    <tableColumn name="¿Qué opción elegís en el Dilema de la Distribución? 18" id="34"/>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5"/>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6"/>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 id="37"/>
    <tableColumn name="Me atraen más los problemas muy complejos que los sencillos" id="38"/>
    <tableColumn name="Me gusta tener la responsabilidad de encargarme de situaciones que requieren pensar mucho" id="39"/>
    <tableColumn name="Pensar no responde a mi idea de la diversión " id="40"/>
    <tableColumn name="Prefiero hacer algo que requiera pensar poco, a hacer algo que será un reto para mi capacidad intelectual" id="41"/>
    <tableColumn name="Realmente me gustan las tareas que requieren encontrar nuevas soluciones a los problemas" id="42"/>
    <tableColumn name="Prefiero una tarea que sea intelectual, difícil e importante, más que una que no requiera pensar mucho, sea o no sea importante " id="43"/>
    <tableColumn name="Para salir adelante en la vida, algunas veces es necesario pasar por encima de otros grupos de personas" id="44"/>
    <tableColumn name="Habría menos problemas si tratáramos a los diferentes grupos de manera más igualitaria" id="45"/>
    <tableColumn name="Los grupos superiores deberían dominar a los grupos inferiores" id="46"/>
    <tableColumn name="La igualdad entre grupos de personas debería ser nuestro ideal" id="47"/>
    <tableColumn name="Es normal que haya grupos superiores y grupos inferiores" id="48"/>
    <tableColumn name="Se debe aumentar la igualdad social" id="49"/>
    <tableColumn name="Probablemente es bueno que ciertos grupos estén en una posición superior y otros en una posición inferior" id="50"/>
    <tableColumn name="Debemos luchar por conseguir ingresos más igualitarios para todos" id="51"/>
    <tableColumn name="Los grupos inferiores deberían mantenerse en su posición" id="52"/>
    <tableColumn name="Sería deseable que todos los grupos fueran iguales" id="53"/>
    <tableColumn name="Genero" id="54"/>
    <tableColumn name="En política a veces se habla de &quot;izquierda&quot; y &quot;derecha&quot; para definir la orientación ideológica de una persona. Usando la siguiente escala, marcá la opción que mejor representa tu propio posicionamiento." id="55"/>
    <tableColumn name="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_x000a__x000a_Por favor, marcá el número de escalón donde creés que estás ubicado/a en este momento de tu vida en relación a otras personas de Argentina." id="56"/>
    <tableColumn name="E-mail" id="57"/>
  </tableColumns>
  <tableStyleInfo name="Respuestas de formulario 9-style" showColumnStripes="0" showFirstColumn="1" showLastColumn="1" showRowStripes="1"/>
</table>
</file>

<file path=xl/tables/table5.xml><?xml version="1.0" encoding="utf-8"?>
<table xmlns="http://schemas.openxmlformats.org/spreadsheetml/2006/main" ref="A1:BE16" displayName="Form_Responses8" name="Form_Responses8" id="5">
  <tableColumns count="57">
    <tableColumn name="Marca temporal" id="1"/>
    <tableColumn name="¿Quién tiene más dinero en la distribución inicial?" id="2"/>
    <tableColumn name="¿Qué opción invierte qué receptor termina con más dinero respecto a los montos iniciales?" id="3"/>
    <tableColumn name="¿Qué opción implica menor desigualdad final entre los receptores?" id="4"/>
    <tableColumn name="¿Cuánto gana la persona en el rol DECISOR?" id="5"/>
    <tableColumn name="¿Con qué elección un DECISOR puede obtener el mayor pago posible para sí mismo ($15.000)?" id="6"/>
    <tableColumn name="¿Con qué elección un DECISOR puede obtener el menor pago posible para sí mismo ($2.500)?" id="7"/>
    <tableColumn name="Si supieses que el otro DECISOR elige “No cooperar”¿Qué elección te da mayor pago?" id="8"/>
    <tableColumn name="Si supiese que el otro decisor eligió “Cooperar” ¿Qué elección te da mayor pago?" id="9"/>
    <tableColumn name="¿Con qué par de elecciones se obtiene el mayor pago sumando los pagos de las tres personas del grupo?" id="10"/>
    <tableColumn name="¿Con qué par de elecciones se obtiene el menor pago sumando los pagos de las tres personas del grupo?" id="11"/>
    <tableColumn name="Si una persona es DECISOR en el Dilema de la Distribución, ¿Qué rol va a tener en el Dilema de la Cooperación de ese mismo bloque?" id="12"/>
    <tableColumn name="Si una persona es RECEPTOR en el Dilema de la Distribución, ¿Qué rol va a tener en el Dilema de la Cooperación de ese mismo bloque?" id="13"/>
    <tableColumn name="¿Qué opción elegís en el Dilema de la Distribución?" id="14"/>
    <tableColumn name="¿Qué opción elegís en el Dilema de la Distribución? 2" id="15"/>
    <tableColumn name="¿Qué opción elegís en el Dilema de la Distribución? 3" id="16"/>
    <tableColumn name="Si estas prestando atención, elegí la opción 3" id="17"/>
    <tableColumn name="¿Qué opción elegís en el Dilema de la Distribución? 4" id="18"/>
    <tableColumn name="¿Qué opción elegís en el Dilema de la Distribución? 5" id="19"/>
    <tableColumn name="¿Qué opción elegís en el Dilema de la Distribución? 6" id="20"/>
    <tableColumn name="¿Qué opción elegís en el Dilema de la Distribución? 7" id="21"/>
    <tableColumn name="¿Qué opción elegís en el Dilema de la Distribución? 8" id="22"/>
    <tableColumn name="¿Qué opción elegís en el Dilema de la Distribución? 9" id="23"/>
    <tableColumn name="Si estas prestando atención, elegí la opción 3 2" id="24"/>
    <tableColumn name="¿Qué opción elegís en el Dilema de la Distribución? 10" id="25"/>
    <tableColumn name="¿Qué opción elegís en el Dilema de la Distribución? 11" id="26"/>
    <tableColumn name="¿Qué opción elegís en el Dilema de la Distribución? 12" id="27"/>
    <tableColumn name="¿Qué opción elegís en el Dilema de la Distribución? 13" id="28"/>
    <tableColumn name="Si estas prestando atención, elegí la opción 3 3" id="29"/>
    <tableColumn name="¿Qué opción elegís en el Dilema de la Distribución? 14" id="30"/>
    <tableColumn name="¿Qué opción elegís en el Dilema de la Distribución? 15" id="31"/>
    <tableColumn name="¿Qué opción elegís en el Dilema de la Distribución? 16" id="32"/>
    <tableColumn name="¿Qué opción elegís en el Dilema de la Distribución? 17" id="33"/>
    <tableColumn name="¿Qué opción elegís en el Dilema de la Distribución? 18" id="34"/>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5"/>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6"/>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 id="37"/>
    <tableColumn name="Me atraen más los problemas muy complejos que los sencillos" id="38"/>
    <tableColumn name="Me gusta tener la responsabilidad de encargarme de situaciones que requieren pensar mucho" id="39"/>
    <tableColumn name="Pensar no responde a mi idea de la diversión " id="40"/>
    <tableColumn name="Prefiero hacer algo que requiera pensar poco, a hacer algo que será un reto para mi capacidad intelectual" id="41"/>
    <tableColumn name="Realmente me gustan las tareas que requieren encontrar nuevas soluciones a los problemas" id="42"/>
    <tableColumn name="Prefiero una tarea que sea intelectual, difícil e importante, más que una que no requiera pensar mucho, sea o no sea importante " id="43"/>
    <tableColumn name="Para salir adelante en la vida, algunas veces es necesario pasar por encima de otros grupos de personas" id="44"/>
    <tableColumn name="Habría menos problemas si tratáramos a los diferentes grupos de manera más igualitaria" id="45"/>
    <tableColumn name="Los grupos superiores deberían dominar a los grupos inferiores" id="46"/>
    <tableColumn name="La igualdad entre grupos de personas debería ser nuestro ideal" id="47"/>
    <tableColumn name="Es normal que haya grupos superiores y grupos inferiores" id="48"/>
    <tableColumn name="Se debe aumentar la igualdad social" id="49"/>
    <tableColumn name="Probablemente es bueno que ciertos grupos estén en una posición superior y otros en una posición inferior" id="50"/>
    <tableColumn name="Debemos luchar por conseguir ingresos más igualitarios para todos" id="51"/>
    <tableColumn name="Los grupos inferiores deberían mantenerse en su posición" id="52"/>
    <tableColumn name="Sería deseable que todos los grupos fueran iguales" id="53"/>
    <tableColumn name="Genero" id="54"/>
    <tableColumn name="En política a veces se habla de &quot;izquierda&quot; y &quot;derecha&quot; para definir la orientación ideológica de una persona. Usando la siguiente escala, marcá la opción que mejor representa tu propio posicionamiento." id="55"/>
    <tableColumn name="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_x000a__x000a_Por favor, marcá el número de escalón donde creés que estás ubicado/a en este momento de tu vida en relación a otras personas de Argentina." id="56"/>
    <tableColumn name="E-mail" id="57"/>
  </tableColumns>
  <tableStyleInfo name="Respuestas de formulario 8-style" showColumnStripes="0" showFirstColumn="1" showLastColumn="1" showRowStripes="1"/>
</table>
</file>

<file path=xl/tables/table6.xml><?xml version="1.0" encoding="utf-8"?>
<table xmlns="http://schemas.openxmlformats.org/spreadsheetml/2006/main" ref="A1:BE13" displayName="Form_Responses7" name="Form_Responses7" id="6">
  <tableColumns count="57">
    <tableColumn name="Marca temporal" id="1"/>
    <tableColumn name="¿Quién tiene más dinero en la distribución inicial?" id="2"/>
    <tableColumn name="¿Qué opción invierte qué receptor termina con más dinero respecto a los montos iniciales?" id="3"/>
    <tableColumn name="¿Qué opción implica menor desigualdad final entre los receptores?" id="4"/>
    <tableColumn name="¿Cuánto gana la persona en el rol DECISOR?" id="5"/>
    <tableColumn name="¿Con qué elección un DECISOR puede obtener el mayor pago posible para sí mismo ($15.000)?" id="6"/>
    <tableColumn name="¿Con qué elección un DECISOR puede obtener el menor pago posible para sí mismo ($2.500)?" id="7"/>
    <tableColumn name="Si supieses que el otro DECISOR elige “No cooperar”¿Qué elección te da mayor pago?" id="8"/>
    <tableColumn name="Si supiese que el otro decisor eligió “Cooperar” ¿Qué elección te da mayor pago?" id="9"/>
    <tableColumn name="¿Con qué par de elecciones se obtiene el mayor pago sumando los pagos de las tres personas del grupo?" id="10"/>
    <tableColumn name="¿Con qué par de elecciones se obtiene el menor pago sumando los pagos de las tres personas del grupo?" id="11"/>
    <tableColumn name="Si una persona es DECISOR en el Dilema de la Distribución, ¿Qué rol va a tener en el Dilema de la Cooperación de ese mismo bloque?" id="12"/>
    <tableColumn name="Si una persona es RECEPTOR en el Dilema de la Distribución, ¿Qué rol va a tener en el Dilema de la Cooperación de ese mismo bloque?" id="13"/>
    <tableColumn name="¿Qué opción elegís en el Dilema de la Distribución?" id="14"/>
    <tableColumn name="¿Qué opción elegís en el Dilema de la Distribución? 2" id="15"/>
    <tableColumn name="¿Qué opción elegís en el Dilema de la Distribución? 3" id="16"/>
    <tableColumn name="¿Qué opción elegís en el Dilema de la Distribución? 4" id="17"/>
    <tableColumn name="¿Qué opción elegís en el Dilema de la Distribución? 5" id="18"/>
    <tableColumn name="Si estas prestando atención, elegí la opción 3" id="19"/>
    <tableColumn name="¿Qué opción elegís en el Dilema de la Distribución? 6" id="20"/>
    <tableColumn name="¿Qué opción elegís en el Dilema de la Distribución? 7" id="21"/>
    <tableColumn name="¿Qué opción elegís en el Dilema de la Distribución? 8" id="22"/>
    <tableColumn name="¿Qué opción elegís en el Dilema de la Distribución? 9" id="23"/>
    <tableColumn name="¿Qué opción elegís en el Dilema de la Distribución? 10" id="24"/>
    <tableColumn name="¿Qué opción elegís en el Dilema de la Distribución? 11" id="25"/>
    <tableColumn name="Si estas prestando atención, elegí la opción 3 2" id="26"/>
    <tableColumn name="¿Qué opción elegís en el Dilema de la Distribución? 12" id="27"/>
    <tableColumn name="¿Qué opción elegís en el Dilema de la Distribución? 13" id="28"/>
    <tableColumn name="¿Qué opción elegís en el Dilema de la Distribución? 14" id="29"/>
    <tableColumn name="¿Qué opción elegís en el Dilema de la Distribución? 15" id="30"/>
    <tableColumn name="¿Qué opción elegís en el Dilema de la Distribución? 16" id="31"/>
    <tableColumn name="¿Qué opción elegís en el Dilema de la Distribución? 17" id="32"/>
    <tableColumn name="Si estas prestando atención, elegí la opción 3 3" id="33"/>
    <tableColumn name="¿Qué opción elegís en el Dilema de la Distribución? 18" id="34"/>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5"/>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6"/>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 id="37"/>
    <tableColumn name="Me atraen más los problemas muy complejos que los sencillos" id="38"/>
    <tableColumn name="Me gusta tener la responsabilidad de encargarme de situaciones que requieren pensar mucho" id="39"/>
    <tableColumn name="Pensar no responde a mi idea de la diversión " id="40"/>
    <tableColumn name="Prefiero hacer algo que requiera pensar poco, a hacer algo que será un reto para mi capacidad intelectual" id="41"/>
    <tableColumn name="Realmente me gustan las tareas que requieren encontrar nuevas soluciones a los problemas" id="42"/>
    <tableColumn name="Prefiero una tarea que sea intelectual, difícil e importante, más que una que no requiera pensar mucho, sea o no sea importante " id="43"/>
    <tableColumn name="Para salir adelante en la vida, algunas veces es necesario pasar por encima de otros grupos de personas" id="44"/>
    <tableColumn name="Habría menos problemas si tratáramos a los diferentes grupos de manera más igualitaria" id="45"/>
    <tableColumn name="Los grupos superiores deberían dominar a los grupos inferiores" id="46"/>
    <tableColumn name="La igualdad entre grupos de personas debería ser nuestro ideal" id="47"/>
    <tableColumn name="Es normal que haya grupos superiores y grupos inferiores" id="48"/>
    <tableColumn name="Se debe aumentar la igualdad social" id="49"/>
    <tableColumn name="Probablemente es bueno que ciertos grupos estén en una posición superior y otros en una posición inferior" id="50"/>
    <tableColumn name="Debemos luchar por conseguir ingresos más igualitarios para todos" id="51"/>
    <tableColumn name="Los grupos inferiores deberían mantenerse en su posición" id="52"/>
    <tableColumn name="Sería deseable que todos los grupos fueran iguales" id="53"/>
    <tableColumn name="Genero" id="54"/>
    <tableColumn name="En política a veces se habla de &quot;izquierda&quot; y &quot;derecha&quot; para definir la orientación ideológica de una persona. Usando la siguiente escala, marcá la opción que mejor representa tu propio posicionamiento." id="55"/>
    <tableColumn name="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_x000a__x000a_Por favor, marcá el número de escalón donde creés que estás ubicado/a en este momento de tu vida en relación a otras personas de Argentina." id="56"/>
    <tableColumn name="E-mail" id="57"/>
  </tableColumns>
  <tableStyleInfo name="Respuestas de formulario 7-style" showColumnStripes="0" showFirstColumn="1" showLastColumn="1" showRowStripes="1"/>
</table>
</file>

<file path=xl/tables/table7.xml><?xml version="1.0" encoding="utf-8"?>
<table xmlns="http://schemas.openxmlformats.org/spreadsheetml/2006/main" ref="A1:BE16" displayName="Form_Responses6" name="Form_Responses6" id="7">
  <tableColumns count="57">
    <tableColumn name="Marca temporal" id="1"/>
    <tableColumn name="¿Quién tiene más dinero en la distribución inicial?" id="2"/>
    <tableColumn name="¿Qué opción invierte qué receptor termina con más dinero respecto a los montos iniciales?" id="3"/>
    <tableColumn name="¿Qué opción implica menor desigualdad final entre los receptores?" id="4"/>
    <tableColumn name="¿Cuánto gana la persona en el rol DECISOR?" id="5"/>
    <tableColumn name="¿Con qué elección un DECISOR puede obtener el mayor pago posible para sí mismo ($15.000)?" id="6"/>
    <tableColumn name="¿Con qué elección un DECISOR puede obtener el menor pago posible para sí mismo ($2.500)?" id="7"/>
    <tableColumn name="Si supieses que el otro DECISOR elige “No cooperar”¿Qué elección te da mayor pago?" id="8"/>
    <tableColumn name="Si supiese que el otro decisor eligió “Cooperar” ¿Qué elección te da mayor pago?" id="9"/>
    <tableColumn name="¿Con qué par de elecciones se obtiene el mayor pago sumando los pagos de las tres personas del grupo?" id="10"/>
    <tableColumn name="¿Con qué par de elecciones se obtiene el menor pago sumando los pagos de las tres personas del grupo?" id="11"/>
    <tableColumn name="Si una persona es DECISOR en el Dilema de la Distribución, ¿Qué rol va a tener en el Dilema de la Cooperación de ese mismo bloque?" id="12"/>
    <tableColumn name="Si una persona es RECEPTOR en el Dilema de la Distribución, ¿Qué rol va a tener en el Dilema de la Cooperación de ese mismo bloque?" id="13"/>
    <tableColumn name="¿Qué opción elegís en el Dilema de la Distribución?" id="14"/>
    <tableColumn name="¿Qué opción elegís en el Dilema de la Distribución? 2" id="15"/>
    <tableColumn name="¿Qué opción elegís en el Dilema de la Distribución? 3" id="16"/>
    <tableColumn name="Si estas prestando atención, elegí la opción 3" id="17"/>
    <tableColumn name="¿Qué opción elegís en el Dilema de la Distribución? 4" id="18"/>
    <tableColumn name="¿Qué opción elegís en el Dilema de la Distribución? 5" id="19"/>
    <tableColumn name="¿Qué opción elegís en el Dilema de la Distribución? 6" id="20"/>
    <tableColumn name="¿Qué opción elegís en el Dilema de la Distribución? 7" id="21"/>
    <tableColumn name="¿Qué opción elegís en el Dilema de la Distribución? 8" id="22"/>
    <tableColumn name="¿Qué opción elegís en el Dilema de la Distribución? 9" id="23"/>
    <tableColumn name="Si estas prestando atención, elegí la opción 3 2" id="24"/>
    <tableColumn name="¿Qué opción elegís en el Dilema de la Distribución? 10" id="25"/>
    <tableColumn name="¿Qué opción elegís en el Dilema de la Distribución? 11" id="26"/>
    <tableColumn name="¿Qué opción elegís en el Dilema de la Distribución? 12" id="27"/>
    <tableColumn name="¿Qué opción elegís en el Dilema de la Distribución? 13" id="28"/>
    <tableColumn name="¿Qué opción elegís en el Dilema de la Distribución? 14" id="29"/>
    <tableColumn name="Si estas prestando atención, elegí la opción 3 3" id="30"/>
    <tableColumn name="¿Qué opción elegís en el Dilema de la Distribución? 15" id="31"/>
    <tableColumn name="¿Qué opción elegís en el Dilema de la Distribución? 16" id="32"/>
    <tableColumn name="¿Qué opción elegís en el Dilema de la Distribución? 17" id="33"/>
    <tableColumn name="¿Qué opción elegís en el Dilema de la Distribución? 18" id="34"/>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5"/>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 id="36"/>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 id="37"/>
    <tableColumn name="Me atraen más los problemas muy complejos que los sencillos" id="38"/>
    <tableColumn name="Me gusta tener la responsabilidad de encargarme de situaciones que requieren pensar mucho" id="39"/>
    <tableColumn name="Pensar no responde a mi idea de la diversión " id="40"/>
    <tableColumn name="Prefiero hacer algo que requiera pensar poco, a hacer algo que será un reto para mi capacidad intelectual" id="41"/>
    <tableColumn name="Realmente me gustan las tareas que requieren encontrar nuevas soluciones a los problemas" id="42"/>
    <tableColumn name="Prefiero una tarea que sea intelectual, difícil e importante, más que una que no requiera pensar mucho, sea o no sea importante " id="43"/>
    <tableColumn name="Para salir adelante en la vida, algunas veces es necesario pasar por encima de otros grupos de personas" id="44"/>
    <tableColumn name="Habría menos problemas si tratáramos a los diferentes grupos de manera más igualitaria" id="45"/>
    <tableColumn name="Los grupos superiores deberían dominar a los grupos inferiores" id="46"/>
    <tableColumn name="La igualdad entre grupos de personas debería ser nuestro ideal" id="47"/>
    <tableColumn name="Es normal que haya grupos superiores y grupos inferiores" id="48"/>
    <tableColumn name="Se debe aumentar la igualdad social" id="49"/>
    <tableColumn name="Probablemente es bueno que ciertos grupos estén en una posición superior y otros en una posición inferior" id="50"/>
    <tableColumn name="Debemos luchar por conseguir ingresos más igualitarios para todos" id="51"/>
    <tableColumn name="Los grupos inferiores deberían mantenerse en su posición" id="52"/>
    <tableColumn name="Sería deseable que todos los grupos fueran iguales" id="53"/>
    <tableColumn name="Genero" id="54"/>
    <tableColumn name="En política a veces se habla de &quot;izquierda&quot; y &quot;derecha&quot; para definir la orientación ideológica de una persona. Usando la siguiente escala, marcá la opción que mejor representa tu propio posicionamiento." id="55"/>
    <tableColumn name="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_x000a__x000a_Por favor, marcá el número de escalón donde creés que estás ubicado/a en este momento de tu vida en relación a otras personas de Argentina." id="56"/>
    <tableColumn name="E-mail" id="57"/>
  </tableColumns>
  <tableStyleInfo name="Respuestas de formulario 6-style" showColumnStripes="0" showFirstColumn="1" showLastColumn="1" showRowStripes="1"/>
</table>
</file>

<file path=xl/tables/table8.xml><?xml version="1.0" encoding="utf-8"?>
<table xmlns="http://schemas.openxmlformats.org/spreadsheetml/2006/main" ref="A1:BE14" displayName="Form_Responses5" name="Form_Responses5" id="8">
  <tableColumns count="57">
    <tableColumn name="Marca temporal" id="1"/>
    <tableColumn name="¿Quién tiene más dinero en la distribución inicial?" id="2"/>
    <tableColumn name="¿Qué opción invierte qué receptor termina con más dinero respecto a los montos iniciales?" id="3"/>
    <tableColumn name="¿Qué opción implica menor desigualdad final entre los receptores?" id="4"/>
    <tableColumn name="¿Cuánto gana la persona en el rol DECISOR?" id="5"/>
    <tableColumn name="¿Con qué elección un DECISOR puede obtener el mayor pago posible para sí mismo ($15.000)?" id="6"/>
    <tableColumn name="¿Con qué elección un DECISOR puede obtener el menor pago posible para sí mismo ($2.500)?" id="7"/>
    <tableColumn name="Si supieses que el otro DECISOR elige “No cooperar”¿Qué elección te da mayor pago?" id="8"/>
    <tableColumn name="Si supiese que el otro decisor eligió “Cooperar” ¿Qué elección te da mayor pago?" id="9"/>
    <tableColumn name="¿Con qué par de elecciones se obtiene el mayor pago sumando los pagos de las tres personas del grupo?" id="10"/>
    <tableColumn name="¿Con qué par de elecciones se obtiene el menor pago sumando los pagos de las tres personas del grupo?" id="11"/>
    <tableColumn name="Si una persona es DECISOR en el Dilema de la Distribución, ¿Qué rol va a tener en el Dilema de la Cooperación de ese mismo bloque?" id="12"/>
    <tableColumn name="Si una persona es RECEPTOR en el Dilema de la Distribución, ¿Qué rol va a tener en el Dilema de la Cooperación de ese mismo bloque?" id="13"/>
    <tableColumn name="¿Qué opción elegís en el Dilema de la Distribución?" id="14"/>
    <tableColumn name="¿Qué opción elegís en el Dilema de la Distribución? 2" id="15"/>
    <tableColumn name="¿Qué opción elegís en el Dilema de la Distribución? 3" id="16"/>
    <tableColumn name="Si estas prestando atención, elegí la opción 3" id="17"/>
    <tableColumn name="¿Qué opción elegís en el Dilema de la Distribución? 4" id="18"/>
    <tableColumn name="¿Qué opción elegís en el Dilema de la Distribución? 5" id="19"/>
    <tableColumn name="¿Qué opción elegís en el Dilema de la Distribución? 6" id="20"/>
    <tableColumn name="¿Qué opción elegís en el Dilema de la Distribución? 7" id="21"/>
    <tableColumn name="¿Qué opción elegís en el Dilema de la Distribución? 8" id="22"/>
    <tableColumn name="¿Qué opción elegís en el Dilema de la Distribución? 9" id="23"/>
    <tableColumn name="¿Qué opción elegís en el Dilema de la Distribución? 10" id="24"/>
    <tableColumn name="¿Qué opción elegís en el Dilema de la Distribución? 11" id="25"/>
    <tableColumn name="¿Qué opción elegís en el Dilema de la Distribución? 12" id="26"/>
    <tableColumn name="Si estas prestando atención, elegí la opción 3 2" id="27"/>
    <tableColumn name="¿Qué opción elegís en el Dilema de la Distribución? 13" id="28"/>
    <tableColumn name="¿Qué opción elegís en el Dilema de la Distribución? 14" id="29"/>
    <tableColumn name="Si estas prestando atención, elegí la opción 3 3" id="30"/>
    <tableColumn name="¿Qué opción elegís en el Dilema de la Distribución? 15" id="31"/>
    <tableColumn name="¿Qué opción elegís en el Dilema de la Distribución? 16" id="32"/>
    <tableColumn name="¿Qué opción elegís en el Dilema de la Distribución? 17" id="33"/>
    <tableColumn name="¿Qué opción elegís en el Dilema de la Distribución? 18" id="34"/>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5"/>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6"/>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 id="37"/>
    <tableColumn name="Me atraen más los problemas muy complejos que los sencillos" id="38"/>
    <tableColumn name="Me gusta tener la responsabilidad de encargarme de situaciones que requieren pensar mucho" id="39"/>
    <tableColumn name="Pensar no responde a mi idea de la diversión " id="40"/>
    <tableColumn name="Prefiero hacer algo que requiera pensar poco, a hacer algo que será un reto para mi capacidad intelectual" id="41"/>
    <tableColumn name="Realmente me gustan las tareas que requieren encontrar nuevas soluciones a los problemas" id="42"/>
    <tableColumn name="Prefiero una tarea que sea intelectual, difícil e importante, más que una que no requiera pensar mucho, sea o no sea importante " id="43"/>
    <tableColumn name="Para salir adelante en la vida, algunas veces es necesario pasar por encima de otros grupos de personas" id="44"/>
    <tableColumn name="Habría menos problemas si tratáramos a los diferentes grupos de manera más igualitaria" id="45"/>
    <tableColumn name="Los grupos superiores deberían dominar a los grupos inferiores" id="46"/>
    <tableColumn name="La igualdad entre grupos de personas debería ser nuestro ideal" id="47"/>
    <tableColumn name="Es normal que haya grupos superiores y grupos inferiores" id="48"/>
    <tableColumn name="Se debe aumentar la igualdad social" id="49"/>
    <tableColumn name="Probablemente es bueno que ciertos grupos estén en una posición superior y otros en una posición inferior" id="50"/>
    <tableColumn name="Debemos luchar por conseguir ingresos más igualitarios para todos" id="51"/>
    <tableColumn name="Los grupos inferiores deberían mantenerse en su posición" id="52"/>
    <tableColumn name="Sería deseable que todos los grupos fueran iguales" id="53"/>
    <tableColumn name="Genero" id="54"/>
    <tableColumn name="En política a veces se habla de &quot;izquierda&quot; y &quot;derecha&quot; para definir la orientación ideológica de una persona. Usando la siguiente escala, marcá la opción que mejor representa tu propio posicionamiento." id="55"/>
    <tableColumn name="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_x000a__x000a_Por favor, marcá el número de escalón donde creés que estás ubicado/a en este momento de tu vida en relación a otras personas de Argentina." id="56"/>
    <tableColumn name="E-mail" id="57"/>
  </tableColumns>
  <tableStyleInfo name="Respuestas de formulario 5-style" showColumnStripes="0" showFirstColumn="1" showLastColumn="1" showRowStripes="1"/>
</table>
</file>

<file path=xl/tables/table9.xml><?xml version="1.0" encoding="utf-8"?>
<table xmlns="http://schemas.openxmlformats.org/spreadsheetml/2006/main" ref="A1:BE10" displayName="Form_Responses4" name="Form_Responses4" id="9">
  <tableColumns count="57">
    <tableColumn name="Marca temporal" id="1"/>
    <tableColumn name="¿Quién tiene más dinero en la distribución inicial?" id="2"/>
    <tableColumn name="¿Qué opción invierte qué receptor termina con más dinero respecto a los montos iniciales?" id="3"/>
    <tableColumn name="¿Qué opción implica menor desigualdad final entre los receptores?" id="4"/>
    <tableColumn name="¿Cuánto gana la persona en el rol DECISOR?" id="5"/>
    <tableColumn name="¿Con qué elección un DECISOR puede obtener el mayor pago posible para sí mismo ($15.000)?" id="6"/>
    <tableColumn name="¿Con qué elección un DECISOR puede obtener el menor pago posible para sí mismo ($2.500)?" id="7"/>
    <tableColumn name="Si supieses que el otro DECISOR elige “No cooperar”¿Qué elección te da mayor pago?" id="8"/>
    <tableColumn name="Si supiese que el otro decisor eligió “Cooperar” ¿Qué elección te da mayor pago?" id="9"/>
    <tableColumn name="¿Con qué par de elecciones se obtiene el mayor pago sumando los pagos de las tres personas del grupo?" id="10"/>
    <tableColumn name="¿Con qué par de elecciones se obtiene el menor pago sumando los pagos de las tres personas del grupo?" id="11"/>
    <tableColumn name="Si una persona es DECISOR en el Dilema de la Distribución, ¿Qué rol va a tener en el Dilema de la Cooperación de ese mismo bloque?" id="12"/>
    <tableColumn name="Si una persona es RECEPTOR en el Dilema de la Distribución, ¿Qué rol va a tener en el Dilema de la Cooperación de ese mismo bloque?" id="13"/>
    <tableColumn name="¿Qué opción elegís en el Dilema de la Distribución?" id="14"/>
    <tableColumn name="¿Qué opción elegís en el Dilema de la Distribución? 2" id="15"/>
    <tableColumn name="Si estas prestando atención, elegí la opción 3" id="16"/>
    <tableColumn name="¿Qué opción elegís en el Dilema de la Distribución? 3" id="17"/>
    <tableColumn name="¿Qué opción elegís en el Dilema de la Distribución? 4" id="18"/>
    <tableColumn name="¿Qué opción elegís en el Dilema de la Distribución? 5" id="19"/>
    <tableColumn name="¿Qué opción elegís en el Dilema de la Distribución? 6" id="20"/>
    <tableColumn name="¿Qué opción elegís en el Dilema de la Distribución? 7" id="21"/>
    <tableColumn name="Si estas prestando atención, elegí la opción 3 2" id="22"/>
    <tableColumn name="¿Qué opción elegís en el Dilema de la Distribución? 8" id="23"/>
    <tableColumn name="¿Qué opción elegís en el Dilema de la Distribución? 9" id="24"/>
    <tableColumn name="¿Qué opción elegís en el Dilema de la Distribución? 10" id="25"/>
    <tableColumn name="¿Qué opción elegís en el Dilema de la Distribución? 11" id="26"/>
    <tableColumn name="¿Qué opción elegís en el Dilema de la Distribución? 12" id="27"/>
    <tableColumn name="¿Qué opción elegís en el Dilema de la Distribución? 13" id="28"/>
    <tableColumn name="¿Qué opción elegís en el Dilema de la Distribución? 14" id="29"/>
    <tableColumn name="¿Qué opción elegís en el Dilema de la Distribución? 15" id="30"/>
    <tableColumn name="¿Qué opción elegís en el Dilema de la Distribución? 16" id="31"/>
    <tableColumn name="¿Qué opción elegís en el Dilema de la Distribución? 17" id="32"/>
    <tableColumn name="¿Qué opción elegís en el Dilema de la Distribución? 18" id="33"/>
    <tableColumn name="Si estas prestando atención, elegí la opción 3 3" id="34"/>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5"/>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6"/>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 id="37"/>
    <tableColumn name="Me atraen más los problemas muy complejos que los sencillos" id="38"/>
    <tableColumn name="Me gusta tener la responsabilidad de encargarme de situaciones que requieren pensar mucho" id="39"/>
    <tableColumn name="Pensar no responde a mi idea de la diversión " id="40"/>
    <tableColumn name="Prefiero hacer algo que requiera pensar poco, a hacer algo que será un reto para mi capacidad intelectual" id="41"/>
    <tableColumn name="Realmente me gustan las tareas que requieren encontrar nuevas soluciones a los problemas" id="42"/>
    <tableColumn name="Prefiero una tarea que sea intelectual, difícil e importante, más que una que no requiera pensar mucho, sea o no sea importante " id="43"/>
    <tableColumn name="Para salir adelante en la vida, algunas veces es necesario pasar por encima de otros grupos de personas" id="44"/>
    <tableColumn name="Habría menos problemas si tratáramos a los diferentes grupos de manera más igualitaria" id="45"/>
    <tableColumn name="Los grupos superiores deberían dominar a los grupos inferiores" id="46"/>
    <tableColumn name="La igualdad entre grupos de personas debería ser nuestro ideal" id="47"/>
    <tableColumn name="Es normal que haya grupos superiores y grupos inferiores" id="48"/>
    <tableColumn name="Se debe aumentar la igualdad social" id="49"/>
    <tableColumn name="Probablemente es bueno que ciertos grupos estén en una posición superior y otros en una posición inferior" id="50"/>
    <tableColumn name="Debemos luchar por conseguir ingresos más igualitarios para todos" id="51"/>
    <tableColumn name="Los grupos inferiores deberían mantenerse en su posición" id="52"/>
    <tableColumn name="Sería deseable que todos los grupos fueran iguales" id="53"/>
    <tableColumn name="Genero" id="54"/>
    <tableColumn name="En política a veces se habla de &quot;izquierda&quot; y &quot;derecha&quot; para definir la orientación ideológica de una persona. Usando la siguiente escala, marcá la opción que mejor representa tu propio posicionamiento." id="55"/>
    <tableColumn name="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_x000a__x000a_Por favor, marcá el número de escalón donde creés que estás ubicado/a en este momento de tu vida en relación a otras personas de Argentina." id="56"/>
    <tableColumn name="E-mail" id="57"/>
  </tableColumns>
  <tableStyleInfo name="Respuestas de formulario 4-style" showColumnStripes="0" showFirstColumn="1" showLastColumn="1" showRowStripes="1"/>
</table>
</file>

<file path=xl/tables/table10.xml><?xml version="1.0" encoding="utf-8"?>
<table xmlns="http://schemas.openxmlformats.org/spreadsheetml/2006/main" ref="A1:BE15" displayName="Form_Responses3" name="Form_Responses3" id="10">
  <tableColumns count="57">
    <tableColumn name="Marca temporal" id="1"/>
    <tableColumn name="¿Quién tiene más dinero en la distribución inicial?" id="2"/>
    <tableColumn name="¿Qué opción invierte qué receptor termina con más dinero respecto a los montos iniciales?" id="3"/>
    <tableColumn name="¿Qué opción implica menor desigualdad final entre los receptores?" id="4"/>
    <tableColumn name="¿Cuánto gana la persona en el rol DECISOR?" id="5"/>
    <tableColumn name="¿Con qué elección un DECISOR puede obtener el mayor pago posible para sí mismo ($15.000)?" id="6"/>
    <tableColumn name="¿Con qué elección un DECISOR puede obtener el menor pago posible para sí mismo ($2.500)?" id="7"/>
    <tableColumn name="Si supieses que el otro DECISOR elige “No cooperar”¿Qué elección te da mayor pago?" id="8"/>
    <tableColumn name="Si supiese que el otro decisor eligió “Cooperar” ¿Qué elección te da mayor pago?" id="9"/>
    <tableColumn name="¿Con qué par de elecciones se obtiene el mayor pago sumando los pagos de las tres personas del grupo?" id="10"/>
    <tableColumn name="¿Con qué par de elecciones se obtiene el menor pago sumando los pagos de las tres personas del grupo?" id="11"/>
    <tableColumn name="Si una persona es DECISOR en el Dilema de la Distribución, ¿Qué rol va a tener en el Dilema de la Cooperación de ese mismo bloque?" id="12"/>
    <tableColumn name="Si una persona es RECEPTOR en el Dilema de la Distribución, ¿Qué rol va a tener en el Dilema de la Cooperación de ese mismo bloque?" id="13"/>
    <tableColumn name="¿Qué opción elegís en el Dilema de la Distribución?" id="14"/>
    <tableColumn name="Si estas prestando atención, elegí la opción 3" id="15"/>
    <tableColumn name="¿Qué opción elegís en el Dilema de la Distribución? 2" id="16"/>
    <tableColumn name="¿Qué opción elegís en el Dilema de la Distribución? 3" id="17"/>
    <tableColumn name="¿Qué opción elegís en el Dilema de la Distribución? 4" id="18"/>
    <tableColumn name="¿Qué opción elegís en el Dilema de la Distribución? 5" id="19"/>
    <tableColumn name="¿Qué opción elegís en el Dilema de la Distribución? 6" id="20"/>
    <tableColumn name="¿Qué opción elegís en el Dilema de la Distribución? 7" id="21"/>
    <tableColumn name="¿Qué opción elegís en el Dilema de la Distribución? 8" id="22"/>
    <tableColumn name="¿Qué opción elegís en el Dilema de la Distribución? 9" id="23"/>
    <tableColumn name="¿Qué opción elegís en el Dilema de la Distribución? 10" id="24"/>
    <tableColumn name="Si estas prestando atención, elegí la opción 3 2" id="25"/>
    <tableColumn name="¿Qué opción elegís en el Dilema de la Distribución? 11" id="26"/>
    <tableColumn name="¿Qué opción elegís en el Dilema de la Distribución? 12" id="27"/>
    <tableColumn name="¿Qué opción elegís en el Dilema de la Distribución? 13" id="28"/>
    <tableColumn name="¿Qué opción elegís en el Dilema de la Distribución? 14" id="29"/>
    <tableColumn name="Si estas prestando atención, elegí la opción 3 3" id="30"/>
    <tableColumn name="¿Qué opción elegís en el Dilema de la Distribución? 15" id="31"/>
    <tableColumn name="¿Qué opción elegís en el Dilema de la Distribución? 16" id="32"/>
    <tableColumn name="¿Qué opción elegís en el Dilema de la Distribución? 17" id="33"/>
    <tableColumn name="¿Qué opción elegís en el Dilema de la Distribución? 18" id="34"/>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5"/>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6"/>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 id="37"/>
    <tableColumn name="Me atraen más los problemas muy complejos que los sencillos" id="38"/>
    <tableColumn name="Me gusta tener la responsabilidad de encargarme de situaciones que requieren pensar mucho" id="39"/>
    <tableColumn name="Pensar no responde a mi idea de la diversión " id="40"/>
    <tableColumn name="Prefiero hacer algo que requiera pensar poco, a hacer algo que será un reto para mi capacidad intelectual" id="41"/>
    <tableColumn name="Realmente me gustan las tareas que requieren encontrar nuevas soluciones a los problemas" id="42"/>
    <tableColumn name="Prefiero una tarea que sea intelectual, difícil e importante, más que una que no requiera pensar mucho, sea o no sea importante " id="43"/>
    <tableColumn name="Para salir adelante en la vida, algunas veces es necesario pasar por encima de otros grupos de personas" id="44"/>
    <tableColumn name="Habría menos problemas si tratáramos a los diferentes grupos de manera más igualitaria" id="45"/>
    <tableColumn name="Los grupos superiores deberían dominar a los grupos inferiores" id="46"/>
    <tableColumn name="La igualdad entre grupos de personas debería ser nuestro ideal" id="47"/>
    <tableColumn name="Es normal que haya grupos superiores y grupos inferiores" id="48"/>
    <tableColumn name="Se debe aumentar la igualdad social" id="49"/>
    <tableColumn name="Probablemente es bueno que ciertos grupos estén en una posición superior y otros en una posición inferior" id="50"/>
    <tableColumn name="Debemos luchar por conseguir ingresos más igualitarios para todos" id="51"/>
    <tableColumn name="Los grupos inferiores deberían mantenerse en su posición" id="52"/>
    <tableColumn name="Sería deseable que todos los grupos fueran iguales" id="53"/>
    <tableColumn name="Genero" id="54"/>
    <tableColumn name="En política a veces se habla de &quot;izquierda&quot; y &quot;derecha&quot; para definir la orientación ideológica de una persona. Usando la siguiente escala, marcá la opción que mejor representa tu propio posicionamiento." id="55"/>
    <tableColumn name="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_x000a__x000a_Por favor, marcá el número de escalón donde creés que estás ubicado/a en este momento de tu vida en relación a otras personas de Argentina." id="56"/>
    <tableColumn name="E-mail" id="57"/>
  </tableColumns>
  <tableStyleInfo name="Respuestas de formulario 3-style" showColumnStripes="0" showFirstColumn="1" showLastColumn="1" showRowStripes="1"/>
</table>
</file>

<file path=xl/tables/table11.xml><?xml version="1.0" encoding="utf-8"?>
<table xmlns="http://schemas.openxmlformats.org/spreadsheetml/2006/main" ref="A1:BE17" displayName="Form_Responses2" name="Form_Responses2" id="11">
  <tableColumns count="57">
    <tableColumn name="Marca temporal" id="1"/>
    <tableColumn name="¿Quién tiene más dinero en la distribución inicial?" id="2"/>
    <tableColumn name="¿Qué opción invierte qué receptor termina con más dinero respecto a los montos iniciales?" id="3"/>
    <tableColumn name="¿Qué opción implica menor desigualdad final entre los receptores?" id="4"/>
    <tableColumn name="¿Cuánto gana la persona en el rol DECISOR?" id="5"/>
    <tableColumn name="¿Con qué elección un DECISOR puede obtener el mayor pago posible para sí mismo ($15.000)?" id="6"/>
    <tableColumn name="¿Con qué elección un DECISOR puede obtener el menor pago posible para sí mismo ($2.500)?" id="7"/>
    <tableColumn name="Si supieses que el otro DECISOR elige “No cooperar”¿Qué elección te da mayor pago?" id="8"/>
    <tableColumn name="Si supiese que el otro decisor eligió “Cooperar” ¿Qué elección te da mayor pago?" id="9"/>
    <tableColumn name="¿Con qué par de elecciones se obtiene el mayor pago sumando los pagos de las tres personas del grupo?" id="10"/>
    <tableColumn name="¿Con qué par de elecciones se obtiene el menor pago sumando los pagos de las tres personas del grupo?" id="11"/>
    <tableColumn name="Si una persona es DECISOR en el Dilema de la Distribución, ¿Qué rol va a tener en el Dilema de la Cooperación de ese mismo bloque?" id="12"/>
    <tableColumn name="Si una persona es RECEPTOR en el Dilema de la Distribución, ¿Qué rol va a tener en el Dilema de la Cooperación de ese mismo bloque?" id="13"/>
    <tableColumn name="¿Qué opción elegís en el Dilema de la Distribución?" id="14"/>
    <tableColumn name="¿Qué opción elegís en el Dilema de la Distribución? 2" id="15"/>
    <tableColumn name="Si estas prestando atención, elegí la opción 3" id="16"/>
    <tableColumn name="¿Qué opción elegís en el Dilema de la Distribución? 3" id="17"/>
    <tableColumn name="¿Qué opción elegís en el Dilema de la Distribución? 4" id="18"/>
    <tableColumn name="¿Qué opción elegís en el Dilema de la Distribución? 5" id="19"/>
    <tableColumn name="¿Qué opción elegís en el Dilema de la Distribución? 6" id="20"/>
    <tableColumn name="¿Qué opción elegís en el Dilema de la Distribución? 7" id="21"/>
    <tableColumn name="¿Qué opción elegís en el Dilema de la Distribución? 8" id="22"/>
    <tableColumn name="¿Qué opción elegís en el Dilema de la Distribución? 9" id="23"/>
    <tableColumn name="¿Qué opción elegís en el Dilema de la Distribución? 10" id="24"/>
    <tableColumn name="¿Qué opción elegís en el Dilema de la Distribución? 11" id="25"/>
    <tableColumn name="Si estas prestando atención, elegí la opción 3 2" id="26"/>
    <tableColumn name="¿Qué opción elegís en el Dilema de la Distribución? 12" id="27"/>
    <tableColumn name="¿Qué opción elegís en el Dilema de la Distribución? 13" id="28"/>
    <tableColumn name="¿Qué opción elegís en el Dilema de la Distribución? 14" id="29"/>
    <tableColumn name="¿Qué opción elegís en el Dilema de la Distribución? 15" id="30"/>
    <tableColumn name="Si estas prestando atención, elegí la opción 3 3" id="31"/>
    <tableColumn name="¿Qué opción elegís en el Dilema de la Distribución? 16" id="32"/>
    <tableColumn name="¿Qué opción elegís en el Dilema de la Distribución? 17" id="33"/>
    <tableColumn name="¿Qué opción elegís en el Dilema de la Distribución? 18" id="34"/>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5"/>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6"/>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 id="37"/>
    <tableColumn name="Me atraen más los problemas muy complejos que los sencillos" id="38"/>
    <tableColumn name="Me gusta tener la responsabilidad de encargarme de situaciones que requieren pensar mucho" id="39"/>
    <tableColumn name="Pensar no responde a mi idea de la diversión " id="40"/>
    <tableColumn name="Prefiero hacer algo que requiera pensar poco, a hacer algo que será un reto para mi capacidad intelectual" id="41"/>
    <tableColumn name="Realmente me gustan las tareas que requieren encontrar nuevas soluciones a los problemas" id="42"/>
    <tableColumn name="Prefiero una tarea que sea intelectual, difícil e importante, más que una que no requiera pensar mucho, sea o no sea importante " id="43"/>
    <tableColumn name="Para salir adelante en la vida, algunas veces es necesario pasar por encima de otros grupos de personas" id="44"/>
    <tableColumn name="Habría menos problemas si tratáramos a los diferentes grupos de manera más igualitaria" id="45"/>
    <tableColumn name="Los grupos superiores deberían dominar a los grupos inferiores" id="46"/>
    <tableColumn name="La igualdad entre grupos de personas debería ser nuestro ideal" id="47"/>
    <tableColumn name="Es normal que haya grupos superiores y grupos inferiores" id="48"/>
    <tableColumn name="Se debe aumentar la igualdad social" id="49"/>
    <tableColumn name="Probablemente es bueno que ciertos grupos estén en una posición superior y otros en una posición inferior" id="50"/>
    <tableColumn name="Debemos luchar por conseguir ingresos más igualitarios para todos" id="51"/>
    <tableColumn name="Los grupos inferiores deberían mantenerse en su posición" id="52"/>
    <tableColumn name="Sería deseable que todos los grupos fueran iguales" id="53"/>
    <tableColumn name="Genero" id="54"/>
    <tableColumn name="En política a veces se habla de &quot;izquierda&quot; y &quot;derecha&quot; para definir la orientación ideológica de una persona. Usando la siguiente escala, marcá la opción que mejor representa tu propio posicionamiento." id="55"/>
    <tableColumn name="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_x000a__x000a_Por favor, marcá el número de escalón donde creés que estás ubicado/a en este momento de tu vida en relación a otras personas de Argentina." id="56"/>
    <tableColumn name="E-mail" id="57"/>
  </tableColumns>
  <tableStyleInfo name="Respuestas de formulario 2-style" showColumnStripes="0" showFirstColumn="1" showLastColumn="1" showRowStripes="1"/>
</table>
</file>

<file path=xl/tables/table12.xml><?xml version="1.0" encoding="utf-8"?>
<table xmlns="http://schemas.openxmlformats.org/spreadsheetml/2006/main" ref="A1:BE11" displayName="Form_Responses" name="Form_Responses" id="12">
  <tableColumns count="57">
    <tableColumn name="Marca temporal" id="1"/>
    <tableColumn name="¿Quién tiene más dinero en la distribución inicial?" id="2"/>
    <tableColumn name="¿Qué opción invierte qué receptor termina con más dinero respecto a los montos iniciales?" id="3"/>
    <tableColumn name="¿Qué opción implica menor desigualdad final entre los receptores?" id="4"/>
    <tableColumn name="¿Cuánto gana la persona en el rol DECISOR?" id="5"/>
    <tableColumn name="¿Con qué elección un DECISOR puede obtener el mayor pago posible para sí mismo ($15.000)?" id="6"/>
    <tableColumn name="¿Con qué elección un DECISOR puede obtener el menor pago posible para sí mismo ($2.500)?" id="7"/>
    <tableColumn name="Si supieses que el otro DECISOR elige “No cooperar”¿Qué elección te da mayor pago?" id="8"/>
    <tableColumn name="Si supiese que el otro decisor eligió “Cooperar” ¿Qué elección te da mayor pago?" id="9"/>
    <tableColumn name="¿Con qué par de elecciones se obtiene el mayor pago sumando los pagos de las tres personas del grupo?" id="10"/>
    <tableColumn name="¿Con qué par de elecciones se obtiene el menor pago sumando los pagos de las tres personas del grupo?" id="11"/>
    <tableColumn name="Si una persona es DECISOR en el Dilema de la Distribución, ¿Qué rol va a tener en el Dilema de la Cooperación de ese mismo bloque?" id="12"/>
    <tableColumn name="Si una persona es RECEPTOR en el Dilema de la Distribución, ¿Qué rol va a tener en el Dilema de la Cooperación de ese mismo bloque?" id="13"/>
    <tableColumn name="¿Qué opción elegís en el Dilema de la Distribución?" id="14"/>
    <tableColumn name="¿Qué opción elegís en el Dilema de la Distribución? 2" id="15"/>
    <tableColumn name="¿Qué opción elegís en el Dilema de la Distribución? 3" id="16"/>
    <tableColumn name="Si estas prestando atención, elegí la opción 3" id="17"/>
    <tableColumn name="¿Qué opción elegís en el Dilema de la Distribución? 4" id="18"/>
    <tableColumn name="¿Qué opción elegís en el Dilema de la Distribución? 5" id="19"/>
    <tableColumn name="¿Qué opción elegís en el Dilema de la Distribución? 6" id="20"/>
    <tableColumn name="¿Qué opción elegís en el Dilema de la Distribución? 7" id="21"/>
    <tableColumn name="¿Qué opción elegís en el Dilema de la Distribución? 8" id="22"/>
    <tableColumn name="¿Qué opción elegís en el Dilema de la Distribución? 9" id="23"/>
    <tableColumn name="¿Qué opción elegís en el Dilema de la Distribución? 10" id="24"/>
    <tableColumn name="Si estas prestando atención, elegí la opción 3 2" id="25"/>
    <tableColumn name="¿Qué opción elegís en el Dilema de la Distribución? 11" id="26"/>
    <tableColumn name="¿Qué opción elegís en el Dilema de la Distribución? 12" id="27"/>
    <tableColumn name="¿Qué opción elegís en el Dilema de la Distribución? 13" id="28"/>
    <tableColumn name="Si estas prestando atención, elegí la opción 3 3" id="29"/>
    <tableColumn name="¿Qué opción elegís en el Dilema de la Distribución? 14" id="30"/>
    <tableColumn name="¿Qué opción elegís en el Dilema de la Distribución? 15" id="31"/>
    <tableColumn name="¿Qué opción elegís en el Dilema de la Distribución? 16" id="32"/>
    <tableColumn name="¿Qué opción elegís en el Dilema de la Distribución? 17" id="33"/>
    <tableColumn name="¿Qué opción elegís en el Dilema de la Distribución? 18" id="34"/>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5"/>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6"/>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 id="37"/>
    <tableColumn name="Me atraen más los problemas muy complejos que los sencillos" id="38"/>
    <tableColumn name="Me gusta tener la responsabilidad de encargarme de situaciones que requieren pensar mucho" id="39"/>
    <tableColumn name="Pensar no responde a mi idea de la diversión " id="40"/>
    <tableColumn name="Prefiero hacer algo que requiera pensar poco, a hacer algo que será un reto para mi capacidad intelectual" id="41"/>
    <tableColumn name="Realmente me gustan las tareas que requieren encontrar nuevas soluciones a los problemas" id="42"/>
    <tableColumn name="Prefiero una tarea que sea intelectual, difícil e importante, más que una que no requiera pensar mucho, sea o no sea importante " id="43"/>
    <tableColumn name="Para salir adelante en la vida, algunas veces es necesario pasar por encima de otros grupos de personas" id="44"/>
    <tableColumn name="Habría menos problemas si tratáramos a los diferentes grupos de manera más igualitaria" id="45"/>
    <tableColumn name="Los grupos superiores deberían dominar a los grupos inferiores" id="46"/>
    <tableColumn name="La igualdad entre grupos de personas debería ser nuestro ideal" id="47"/>
    <tableColumn name="Es normal que haya grupos superiores y grupos inferiores" id="48"/>
    <tableColumn name="Se debe aumentar la igualdad social" id="49"/>
    <tableColumn name="Probablemente es bueno que ciertos grupos estén en una posición superior y otros en una posición inferior" id="50"/>
    <tableColumn name="Debemos luchar por conseguir ingresos más igualitarios para todos" id="51"/>
    <tableColumn name="Los grupos inferiores deberían mantenerse en su posición" id="52"/>
    <tableColumn name="Sería deseable que todos los grupos fueran iguales" id="53"/>
    <tableColumn name="Genero" id="54"/>
    <tableColumn name="En política a veces se habla de &quot;izquierda&quot; y &quot;derecha&quot; para definir la orientación ideológica de una persona. Usando la siguiente escala, marcá la opción que mejor representa tu propio posicionamiento." id="55"/>
    <tableColumn name="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_x000a__x000a_Por favor, marcá el número de escalón donde creés que estás ubicado/a en este momento de tu vida en relación a otras personas de Argentina." id="56"/>
    <tableColumn name="E-mail" id="57"/>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tr">
        <f>IFERROR(__xludf.DUMMYFUNCTION("{ QUERY('Respuestas de formulario 1'!BE2:BE986, ""select Col1, 'Form_1' where Col1 is not null"",0); QUERY('Respuestas de formulario 2'!BE2:BE986, ""select Col1, 'Form_2' where Col1 is not null"",0); QUERY('Respuestas de formulario 3'!BE2:BE986, ""select "&amp;"Col1, 'Form_3' where Col1 is not null"",0); QUERY('Respuestas de formulario 4'!BE2:BE986, ""select Col1, 'Form_4' where Col1 is not null"",0); QUERY('Respuestas de formulario 5'!BE2:BE986, ""select Col1, 'Form_5' where Col1 is not null"",0); QUERY('Respue"&amp;"stas de formulario 6'!BE2:BE986, ""select Col1, 'Form_6' where Col1 is not null"",0); QUERY('Respuestas de formulario 7'!BE2:BE986, ""select Col1, 'Form_7' where Col1 is not null"",0); QUERY('Respuestas de formulario 8'!BE2:BE986, ""select Col1, 'Form_8' "&amp;"where Col1 is not null"",0); QUERY('Respuestas de formulario 9'!BE2:BE986, ""select Col1, 'Form_9' where Col1 is not null"",0); QUERY('Respuestas de formulario 10'!BE2:BE986, ""select Col1, 'Form_10' where Col1 is not null"",0); QUERY('Respuestas de formu"&amp;"lario 11'!BE2:BE986, ""select Col1, 'Form_11' where Col1 is not null"",0); QUERY('Respuestas de formulario 12'!BE2:BE986, ""select Col1, 'Form_12' where Col1 is not null"",0) }"),"")</f>
        <v/>
      </c>
      <c r="C1" s="1" t="str">
        <f>IFERROR(__xludf.DUMMYFUNCTION("""COMPUTED_VALUE"""),"""Form_1""()")</f>
        <v>"Form_1"()</v>
      </c>
    </row>
    <row r="2">
      <c r="A2" s="2">
        <v>1.0</v>
      </c>
      <c r="B2" s="1" t="str">
        <f>IFERROR(__xludf.DUMMYFUNCTION("""COMPUTED_VALUE"""),"Imanol.1779@gmail.com")</f>
        <v>Imanol.1779@gmail.com</v>
      </c>
      <c r="C2" s="1" t="str">
        <f>IFERROR(__xludf.DUMMYFUNCTION("""COMPUTED_VALUE"""),"Form_1")</f>
        <v>Form_1</v>
      </c>
    </row>
    <row r="3">
      <c r="A3" s="2">
        <v>2.0</v>
      </c>
      <c r="B3" s="1" t="str">
        <f>IFERROR(__xludf.DUMMYFUNCTION("""COMPUTED_VALUE"""),"Agustina.097c@gmail.com")</f>
        <v>Agustina.097c@gmail.com</v>
      </c>
      <c r="C3" s="1" t="str">
        <f>IFERROR(__xludf.DUMMYFUNCTION("""COMPUTED_VALUE"""),"Form_1")</f>
        <v>Form_1</v>
      </c>
    </row>
    <row r="4">
      <c r="A4" s="2">
        <v>3.0</v>
      </c>
      <c r="B4" s="1" t="str">
        <f>IFERROR(__xludf.DUMMYFUNCTION("""COMPUTED_VALUE"""),"guillerminaginginsvignolo@gmail.com")</f>
        <v>guillerminaginginsvignolo@gmail.com</v>
      </c>
      <c r="C4" s="1" t="str">
        <f>IFERROR(__xludf.DUMMYFUNCTION("""COMPUTED_VALUE"""),"Form_1")</f>
        <v>Form_1</v>
      </c>
    </row>
    <row r="5">
      <c r="A5" s="2">
        <v>4.0</v>
      </c>
      <c r="B5" s="1" t="str">
        <f>IFERROR(__xludf.DUMMYFUNCTION("""COMPUTED_VALUE"""),"marienbualo@gmail.com")</f>
        <v>marienbualo@gmail.com</v>
      </c>
      <c r="C5" s="1" t="str">
        <f>IFERROR(__xludf.DUMMYFUNCTION("""COMPUTED_VALUE"""),"Form_1")</f>
        <v>Form_1</v>
      </c>
    </row>
    <row r="6">
      <c r="A6" s="2">
        <v>5.0</v>
      </c>
      <c r="B6" s="1" t="str">
        <f>IFERROR(__xludf.DUMMYFUNCTION("""COMPUTED_VALUE"""),"lourdesalbanesicbc@gmail.com")</f>
        <v>lourdesalbanesicbc@gmail.com</v>
      </c>
      <c r="C6" s="1" t="str">
        <f>IFERROR(__xludf.DUMMYFUNCTION("""COMPUTED_VALUE"""),"Form_1")</f>
        <v>Form_1</v>
      </c>
    </row>
    <row r="7">
      <c r="A7" s="2">
        <v>6.0</v>
      </c>
      <c r="B7" s="1" t="str">
        <f>IFERROR(__xludf.DUMMYFUNCTION("""COMPUTED_VALUE"""),"agusssantarelli@gmail.com")</f>
        <v>agusssantarelli@gmail.com</v>
      </c>
      <c r="C7" s="1" t="str">
        <f>IFERROR(__xludf.DUMMYFUNCTION("""COMPUTED_VALUE"""),"Form_1")</f>
        <v>Form_1</v>
      </c>
    </row>
    <row r="8">
      <c r="A8" s="2">
        <v>7.0</v>
      </c>
      <c r="B8" s="1" t="str">
        <f>IFERROR(__xludf.DUMMYFUNCTION("""COMPUTED_VALUE"""),"Veramariana.m@outlook.es")</f>
        <v>Veramariana.m@outlook.es</v>
      </c>
      <c r="C8" s="1" t="str">
        <f>IFERROR(__xludf.DUMMYFUNCTION("""COMPUTED_VALUE"""),"Form_1")</f>
        <v>Form_1</v>
      </c>
    </row>
    <row r="9">
      <c r="A9" s="2">
        <v>8.0</v>
      </c>
      <c r="B9" s="1" t="str">
        <f>IFERROR(__xludf.DUMMYFUNCTION("""COMPUTED_VALUE"""),"tminadeluca@gmail.com")</f>
        <v>tminadeluca@gmail.com</v>
      </c>
      <c r="C9" s="1" t="str">
        <f>IFERROR(__xludf.DUMMYFUNCTION("""COMPUTED_VALUE"""),"Form_1")</f>
        <v>Form_1</v>
      </c>
    </row>
    <row r="10">
      <c r="A10" s="2">
        <v>9.0</v>
      </c>
      <c r="B10" s="1" t="str">
        <f>IFERROR(__xludf.DUMMYFUNCTION("""COMPUTED_VALUE"""),"sarmientotami1@gmail.com")</f>
        <v>sarmientotami1@gmail.com</v>
      </c>
      <c r="C10" s="1" t="str">
        <f>IFERROR(__xludf.DUMMYFUNCTION("""COMPUTED_VALUE"""),"Form_1")</f>
        <v>Form_1</v>
      </c>
    </row>
    <row r="11">
      <c r="A11" s="2">
        <v>10.0</v>
      </c>
      <c r="B11" s="1" t="str">
        <f>IFERROR(__xludf.DUMMYFUNCTION("""COMPUTED_VALUE"""),"")</f>
        <v/>
      </c>
      <c r="C11" s="1" t="str">
        <f>IFERROR(__xludf.DUMMYFUNCTION("""COMPUTED_VALUE"""),"""Form_2""()")</f>
        <v>"Form_2"()</v>
      </c>
    </row>
    <row r="12">
      <c r="A12" s="2">
        <v>11.0</v>
      </c>
      <c r="B12" s="1" t="str">
        <f>IFERROR(__xludf.DUMMYFUNCTION("""COMPUTED_VALUE"""),"abril.na.p@gmail.com")</f>
        <v>abril.na.p@gmail.com</v>
      </c>
      <c r="C12" s="1" t="str">
        <f>IFERROR(__xludf.DUMMYFUNCTION("""COMPUTED_VALUE"""),"Form_2")</f>
        <v>Form_2</v>
      </c>
    </row>
    <row r="13">
      <c r="A13" s="2">
        <v>12.0</v>
      </c>
      <c r="B13" s="1" t="str">
        <f>IFERROR(__xludf.DUMMYFUNCTION("""COMPUTED_VALUE"""),"anagomba@abc.gob.ar")</f>
        <v>anagomba@abc.gob.ar</v>
      </c>
      <c r="C13" s="1" t="str">
        <f>IFERROR(__xludf.DUMMYFUNCTION("""COMPUTED_VALUE"""),"Form_2")</f>
        <v>Form_2</v>
      </c>
    </row>
    <row r="14">
      <c r="A14" s="2">
        <v>13.0</v>
      </c>
      <c r="B14" s="1" t="str">
        <f>IFERROR(__xludf.DUMMYFUNCTION("""COMPUTED_VALUE"""),"Luciaq.a@hotmail.com")</f>
        <v>Luciaq.a@hotmail.com</v>
      </c>
      <c r="C14" s="1" t="str">
        <f>IFERROR(__xludf.DUMMYFUNCTION("""COMPUTED_VALUE"""),"Form_2")</f>
        <v>Form_2</v>
      </c>
    </row>
    <row r="15">
      <c r="A15" s="2">
        <v>14.0</v>
      </c>
      <c r="B15" s="1" t="str">
        <f>IFERROR(__xludf.DUMMYFUNCTION("""COMPUTED_VALUE"""),"victoriae_quintas@hotmail.com")</f>
        <v>victoriae_quintas@hotmail.com</v>
      </c>
      <c r="C15" s="1" t="str">
        <f>IFERROR(__xludf.DUMMYFUNCTION("""COMPUTED_VALUE"""),"Form_2")</f>
        <v>Form_2</v>
      </c>
    </row>
    <row r="16">
      <c r="A16" s="2">
        <v>15.0</v>
      </c>
      <c r="B16" s="1" t="str">
        <f>IFERROR(__xludf.DUMMYFUNCTION("""COMPUTED_VALUE"""),"valentin.belloli55@gmail.com")</f>
        <v>valentin.belloli55@gmail.com</v>
      </c>
      <c r="C16" s="1" t="str">
        <f>IFERROR(__xludf.DUMMYFUNCTION("""COMPUTED_VALUE"""),"Form_2")</f>
        <v>Form_2</v>
      </c>
    </row>
    <row r="17">
      <c r="A17" s="2">
        <v>16.0</v>
      </c>
      <c r="B17" s="1" t="str">
        <f>IFERROR(__xludf.DUMMYFUNCTION("""COMPUTED_VALUE"""),"karencocha@yahoo.com.ar")</f>
        <v>karencocha@yahoo.com.ar</v>
      </c>
      <c r="C17" s="1" t="str">
        <f>IFERROR(__xludf.DUMMYFUNCTION("""COMPUTED_VALUE"""),"Form_2")</f>
        <v>Form_2</v>
      </c>
    </row>
    <row r="18">
      <c r="A18" s="2">
        <v>17.0</v>
      </c>
      <c r="B18" s="1" t="str">
        <f>IFERROR(__xludf.DUMMYFUNCTION("""COMPUTED_VALUE"""),"germi.rach2003@gmail.com")</f>
        <v>germi.rach2003@gmail.com</v>
      </c>
      <c r="C18" s="1" t="str">
        <f>IFERROR(__xludf.DUMMYFUNCTION("""COMPUTED_VALUE"""),"Form_2")</f>
        <v>Form_2</v>
      </c>
    </row>
    <row r="19">
      <c r="A19" s="2">
        <v>18.0</v>
      </c>
      <c r="B19" s="1" t="str">
        <f>IFERROR(__xludf.DUMMYFUNCTION("""COMPUTED_VALUE"""),"braianuns08@gmail.com")</f>
        <v>braianuns08@gmail.com</v>
      </c>
      <c r="C19" s="1" t="str">
        <f>IFERROR(__xludf.DUMMYFUNCTION("""COMPUTED_VALUE"""),"Form_2")</f>
        <v>Form_2</v>
      </c>
    </row>
    <row r="20">
      <c r="A20" s="2">
        <v>19.0</v>
      </c>
      <c r="B20" s="1" t="str">
        <f>IFERROR(__xludf.DUMMYFUNCTION("""COMPUTED_VALUE"""),"23alanbertin@gmail.com")</f>
        <v>23alanbertin@gmail.com</v>
      </c>
      <c r="C20" s="1" t="str">
        <f>IFERROR(__xludf.DUMMYFUNCTION("""COMPUTED_VALUE"""),"Form_2")</f>
        <v>Form_2</v>
      </c>
    </row>
    <row r="21">
      <c r="A21" s="2">
        <v>20.0</v>
      </c>
      <c r="B21" s="1" t="str">
        <f>IFERROR(__xludf.DUMMYFUNCTION("""COMPUTED_VALUE"""),"Tacchettibelen4@gmail.com")</f>
        <v>Tacchettibelen4@gmail.com</v>
      </c>
      <c r="C21" s="1" t="str">
        <f>IFERROR(__xludf.DUMMYFUNCTION("""COMPUTED_VALUE"""),"Form_2")</f>
        <v>Form_2</v>
      </c>
    </row>
    <row r="22">
      <c r="A22" s="2">
        <v>21.0</v>
      </c>
      <c r="B22" s="1" t="str">
        <f>IFERROR(__xludf.DUMMYFUNCTION("""COMPUTED_VALUE"""),"lopez.geronimo221@gmail.com")</f>
        <v>lopez.geronimo221@gmail.com</v>
      </c>
      <c r="C22" s="1" t="str">
        <f>IFERROR(__xludf.DUMMYFUNCTION("""COMPUTED_VALUE"""),"Form_2")</f>
        <v>Form_2</v>
      </c>
    </row>
    <row r="23">
      <c r="A23" s="2">
        <v>22.0</v>
      </c>
      <c r="B23" s="1" t="str">
        <f>IFERROR(__xludf.DUMMYFUNCTION("""COMPUTED_VALUE"""),"Florenciasinconi@gmail.com")</f>
        <v>Florenciasinconi@gmail.com</v>
      </c>
      <c r="C23" s="1" t="str">
        <f>IFERROR(__xludf.DUMMYFUNCTION("""COMPUTED_VALUE"""),"Form_2")</f>
        <v>Form_2</v>
      </c>
    </row>
    <row r="24">
      <c r="A24" s="2">
        <v>23.0</v>
      </c>
      <c r="B24" s="1" t="str">
        <f>IFERROR(__xludf.DUMMYFUNCTION("""COMPUTED_VALUE"""),"martinacobian111@gmail.com")</f>
        <v>martinacobian111@gmail.com</v>
      </c>
      <c r="C24" s="1" t="str">
        <f>IFERROR(__xludf.DUMMYFUNCTION("""COMPUTED_VALUE"""),"Form_2")</f>
        <v>Form_2</v>
      </c>
    </row>
    <row r="25">
      <c r="A25" s="2">
        <v>24.0</v>
      </c>
      <c r="B25" s="1" t="str">
        <f>IFERROR(__xludf.DUMMYFUNCTION("""COMPUTED_VALUE"""),"lucho_purre@hotmail.com")</f>
        <v>lucho_purre@hotmail.com</v>
      </c>
      <c r="C25" s="1" t="str">
        <f>IFERROR(__xludf.DUMMYFUNCTION("""COMPUTED_VALUE"""),"Form_2")</f>
        <v>Form_2</v>
      </c>
    </row>
    <row r="26">
      <c r="A26" s="2">
        <v>25.0</v>
      </c>
      <c r="B26" s="1" t="str">
        <f>IFERROR(__xludf.DUMMYFUNCTION("""COMPUTED_VALUE"""),"pamelakerman@hotmail.com")</f>
        <v>pamelakerman@hotmail.com</v>
      </c>
      <c r="C26" s="1" t="str">
        <f>IFERROR(__xludf.DUMMYFUNCTION("""COMPUTED_VALUE"""),"Form_2")</f>
        <v>Form_2</v>
      </c>
    </row>
    <row r="27">
      <c r="A27" s="2">
        <v>26.0</v>
      </c>
      <c r="B27" s="1" t="str">
        <f>IFERROR(__xludf.DUMMYFUNCTION("""COMPUTED_VALUE"""),"sofiatiete@gmail.com")</f>
        <v>sofiatiete@gmail.com</v>
      </c>
      <c r="C27" s="1" t="str">
        <f>IFERROR(__xludf.DUMMYFUNCTION("""COMPUTED_VALUE"""),"Form_2")</f>
        <v>Form_2</v>
      </c>
    </row>
    <row r="28">
      <c r="A28" s="2">
        <v>27.0</v>
      </c>
      <c r="B28" s="1" t="str">
        <f>IFERROR(__xludf.DUMMYFUNCTION("""COMPUTED_VALUE"""),"")</f>
        <v/>
      </c>
      <c r="C28" s="1" t="str">
        <f>IFERROR(__xludf.DUMMYFUNCTION("""COMPUTED_VALUE"""),"""Form_3""()")</f>
        <v>"Form_3"()</v>
      </c>
    </row>
    <row r="29">
      <c r="A29" s="2">
        <v>28.0</v>
      </c>
      <c r="B29" s="1" t="str">
        <f>IFERROR(__xludf.DUMMYFUNCTION("""COMPUTED_VALUE"""),"nagusosa@gmail.com")</f>
        <v>nagusosa@gmail.com</v>
      </c>
      <c r="C29" s="1" t="str">
        <f>IFERROR(__xludf.DUMMYFUNCTION("""COMPUTED_VALUE"""),"Form_3")</f>
        <v>Form_3</v>
      </c>
    </row>
    <row r="30">
      <c r="A30" s="2">
        <v>29.0</v>
      </c>
      <c r="B30" s="1" t="str">
        <f>IFERROR(__xludf.DUMMYFUNCTION("""COMPUTED_VALUE"""),"Aylen_castrodellorusso@hotmail.com")</f>
        <v>Aylen_castrodellorusso@hotmail.com</v>
      </c>
      <c r="C30" s="1" t="str">
        <f>IFERROR(__xludf.DUMMYFUNCTION("""COMPUTED_VALUE"""),"Form_3")</f>
        <v>Form_3</v>
      </c>
    </row>
    <row r="31">
      <c r="A31" s="2">
        <v>30.0</v>
      </c>
      <c r="B31" s="1" t="str">
        <f>IFERROR(__xludf.DUMMYFUNCTION("""COMPUTED_VALUE"""),"lorentemariacandela@gmail.com")</f>
        <v>lorentemariacandela@gmail.com</v>
      </c>
      <c r="C31" s="1" t="str">
        <f>IFERROR(__xludf.DUMMYFUNCTION("""COMPUTED_VALUE"""),"Form_3")</f>
        <v>Form_3</v>
      </c>
    </row>
    <row r="32">
      <c r="A32" s="2">
        <v>31.0</v>
      </c>
      <c r="B32" s="1" t="str">
        <f>IFERROR(__xludf.DUMMYFUNCTION("""COMPUTED_VALUE"""),"valentinasmoilis@gmail.com")</f>
        <v>valentinasmoilis@gmail.com</v>
      </c>
      <c r="C32" s="1" t="str">
        <f>IFERROR(__xludf.DUMMYFUNCTION("""COMPUTED_VALUE"""),"Form_3")</f>
        <v>Form_3</v>
      </c>
    </row>
    <row r="33">
      <c r="A33" s="2">
        <v>32.0</v>
      </c>
      <c r="B33" s="1" t="str">
        <f>IFERROR(__xludf.DUMMYFUNCTION("""COMPUTED_VALUE"""),"larribite59@gmail.com")</f>
        <v>larribite59@gmail.com</v>
      </c>
      <c r="C33" s="1" t="str">
        <f>IFERROR(__xludf.DUMMYFUNCTION("""COMPUTED_VALUE"""),"Form_3")</f>
        <v>Form_3</v>
      </c>
    </row>
    <row r="34">
      <c r="A34" s="2">
        <v>33.0</v>
      </c>
      <c r="B34" s="1" t="str">
        <f>IFERROR(__xludf.DUMMYFUNCTION("""COMPUTED_VALUE"""),"victorializarraga77@gmail.com")</f>
        <v>victorializarraga77@gmail.com</v>
      </c>
      <c r="C34" s="1" t="str">
        <f>IFERROR(__xludf.DUMMYFUNCTION("""COMPUTED_VALUE"""),"Form_3")</f>
        <v>Form_3</v>
      </c>
    </row>
    <row r="35">
      <c r="A35" s="2">
        <v>34.0</v>
      </c>
      <c r="B35" s="1" t="str">
        <f>IFERROR(__xludf.DUMMYFUNCTION("""COMPUTED_VALUE"""),"brenbertin@gmail.com")</f>
        <v>brenbertin@gmail.com</v>
      </c>
      <c r="C35" s="1" t="str">
        <f>IFERROR(__xludf.DUMMYFUNCTION("""COMPUTED_VALUE"""),"Form_3")</f>
        <v>Form_3</v>
      </c>
    </row>
    <row r="36">
      <c r="A36" s="2">
        <v>35.0</v>
      </c>
      <c r="B36" s="1" t="str">
        <f>IFERROR(__xludf.DUMMYFUNCTION("""COMPUTED_VALUE"""),"carocaprin@gmail.com")</f>
        <v>carocaprin@gmail.com</v>
      </c>
      <c r="C36" s="1" t="str">
        <f>IFERROR(__xludf.DUMMYFUNCTION("""COMPUTED_VALUE"""),"Form_3")</f>
        <v>Form_3</v>
      </c>
    </row>
    <row r="37">
      <c r="A37" s="2">
        <v>36.0</v>
      </c>
      <c r="B37" s="1" t="str">
        <f>IFERROR(__xludf.DUMMYFUNCTION("""COMPUTED_VALUE"""),"ilverelmejor@gmail.com")</f>
        <v>ilverelmejor@gmail.com</v>
      </c>
      <c r="C37" s="1" t="str">
        <f>IFERROR(__xludf.DUMMYFUNCTION("""COMPUTED_VALUE"""),"Form_3")</f>
        <v>Form_3</v>
      </c>
    </row>
    <row r="38">
      <c r="A38" s="2">
        <v>37.0</v>
      </c>
      <c r="B38" s="1" t="str">
        <f>IFERROR(__xludf.DUMMYFUNCTION("""COMPUTED_VALUE"""),"Sabrideclasico@gmail.com")</f>
        <v>Sabrideclasico@gmail.com</v>
      </c>
      <c r="C38" s="1" t="str">
        <f>IFERROR(__xludf.DUMMYFUNCTION("""COMPUTED_VALUE"""),"Form_3")</f>
        <v>Form_3</v>
      </c>
    </row>
    <row r="39">
      <c r="A39" s="2">
        <v>38.0</v>
      </c>
      <c r="B39" s="1" t="str">
        <f>IFERROR(__xludf.DUMMYFUNCTION("""COMPUTED_VALUE"""),"trinimateos22@gmail.com")</f>
        <v>trinimateos22@gmail.com</v>
      </c>
      <c r="C39" s="1" t="str">
        <f>IFERROR(__xludf.DUMMYFUNCTION("""COMPUTED_VALUE"""),"Form_3")</f>
        <v>Form_3</v>
      </c>
    </row>
    <row r="40">
      <c r="A40" s="2">
        <v>39.0</v>
      </c>
      <c r="B40" s="1" t="str">
        <f>IFERROR(__xludf.DUMMYFUNCTION("""COMPUTED_VALUE"""),"Pauwattson@gmail.com")</f>
        <v>Pauwattson@gmail.com</v>
      </c>
      <c r="C40" s="1" t="str">
        <f>IFERROR(__xludf.DUMMYFUNCTION("""COMPUTED_VALUE"""),"Form_3")</f>
        <v>Form_3</v>
      </c>
    </row>
    <row r="41">
      <c r="A41" s="2">
        <v>40.0</v>
      </c>
      <c r="B41" s="1" t="str">
        <f>IFERROR(__xludf.DUMMYFUNCTION("""COMPUTED_VALUE"""),"noemiamirez352@gmail.com")</f>
        <v>noemiamirez352@gmail.com</v>
      </c>
      <c r="C41" s="1" t="str">
        <f>IFERROR(__xludf.DUMMYFUNCTION("""COMPUTED_VALUE"""),"Form_3")</f>
        <v>Form_3</v>
      </c>
    </row>
    <row r="42">
      <c r="A42" s="2">
        <v>41.0</v>
      </c>
      <c r="B42" s="1" t="str">
        <f>IFERROR(__xludf.DUMMYFUNCTION("""COMPUTED_VALUE"""),"Evelin.arias.3954@gmail.com")</f>
        <v>Evelin.arias.3954@gmail.com</v>
      </c>
      <c r="C42" s="1" t="str">
        <f>IFERROR(__xludf.DUMMYFUNCTION("""COMPUTED_VALUE"""),"Form_3")</f>
        <v>Form_3</v>
      </c>
    </row>
    <row r="43">
      <c r="A43" s="2">
        <v>42.0</v>
      </c>
      <c r="B43" s="1" t="str">
        <f>IFERROR(__xludf.DUMMYFUNCTION("""COMPUTED_VALUE"""),"")</f>
        <v/>
      </c>
      <c r="C43" s="1" t="str">
        <f>IFERROR(__xludf.DUMMYFUNCTION("""COMPUTED_VALUE"""),"""Form_4""()")</f>
        <v>"Form_4"()</v>
      </c>
    </row>
    <row r="44">
      <c r="A44" s="2">
        <v>43.0</v>
      </c>
      <c r="B44" s="1" t="str">
        <f>IFERROR(__xludf.DUMMYFUNCTION("""COMPUTED_VALUE"""),"lucas23.quiroga@gmail.com")</f>
        <v>lucas23.quiroga@gmail.com</v>
      </c>
      <c r="C44" s="1" t="str">
        <f>IFERROR(__xludf.DUMMYFUNCTION("""COMPUTED_VALUE"""),"Form_4")</f>
        <v>Form_4</v>
      </c>
    </row>
    <row r="45">
      <c r="A45" s="2">
        <v>44.0</v>
      </c>
      <c r="B45" s="1" t="str">
        <f>IFERROR(__xludf.DUMMYFUNCTION("""COMPUTED_VALUE"""),"lojorro@gmail.com")</f>
        <v>lojorro@gmail.com</v>
      </c>
      <c r="C45" s="1" t="str">
        <f>IFERROR(__xludf.DUMMYFUNCTION("""COMPUTED_VALUE"""),"Form_4")</f>
        <v>Form_4</v>
      </c>
    </row>
    <row r="46">
      <c r="A46" s="2">
        <v>45.0</v>
      </c>
      <c r="B46" s="1" t="str">
        <f>IFERROR(__xludf.DUMMYFUNCTION("""COMPUTED_VALUE"""),"Rnahuelfil@gmail.com")</f>
        <v>Rnahuelfil@gmail.com</v>
      </c>
      <c r="C46" s="1" t="str">
        <f>IFERROR(__xludf.DUMMYFUNCTION("""COMPUTED_VALUE"""),"Form_4")</f>
        <v>Form_4</v>
      </c>
    </row>
    <row r="47">
      <c r="A47" s="2">
        <v>46.0</v>
      </c>
      <c r="B47" s="1" t="str">
        <f>IFERROR(__xludf.DUMMYFUNCTION("""COMPUTED_VALUE"""),"djdarkok@gmail.com")</f>
        <v>djdarkok@gmail.com</v>
      </c>
      <c r="C47" s="1" t="str">
        <f>IFERROR(__xludf.DUMMYFUNCTION("""COMPUTED_VALUE"""),"Form_4")</f>
        <v>Form_4</v>
      </c>
    </row>
    <row r="48">
      <c r="A48" s="2">
        <v>47.0</v>
      </c>
      <c r="B48" s="1" t="str">
        <f>IFERROR(__xludf.DUMMYFUNCTION("""COMPUTED_VALUE"""),"camilardicroce@gmail.com")</f>
        <v>camilardicroce@gmail.com</v>
      </c>
      <c r="C48" s="1" t="str">
        <f>IFERROR(__xludf.DUMMYFUNCTION("""COMPUTED_VALUE"""),"Form_4")</f>
        <v>Form_4</v>
      </c>
    </row>
    <row r="49">
      <c r="A49" s="2">
        <v>48.0</v>
      </c>
      <c r="B49" s="1" t="str">
        <f>IFERROR(__xludf.DUMMYFUNCTION("""COMPUTED_VALUE"""),"constanzamacri@gmail.com")</f>
        <v>constanzamacri@gmail.com</v>
      </c>
      <c r="C49" s="1" t="str">
        <f>IFERROR(__xludf.DUMMYFUNCTION("""COMPUTED_VALUE"""),"Form_4")</f>
        <v>Form_4</v>
      </c>
    </row>
    <row r="50">
      <c r="A50" s="2">
        <v>49.0</v>
      </c>
      <c r="B50" s="1" t="str">
        <f>IFERROR(__xludf.DUMMYFUNCTION("""COMPUTED_VALUE"""),"agustinacasco16.11.96@gmail.com")</f>
        <v>agustinacasco16.11.96@gmail.com</v>
      </c>
      <c r="C50" s="1" t="str">
        <f>IFERROR(__xludf.DUMMYFUNCTION("""COMPUTED_VALUE"""),"Form_4")</f>
        <v>Form_4</v>
      </c>
    </row>
    <row r="51">
      <c r="A51" s="2">
        <v>50.0</v>
      </c>
      <c r="B51" s="1" t="str">
        <f>IFERROR(__xludf.DUMMYFUNCTION("""COMPUTED_VALUE"""),"micaela.castano123@gmail.com")</f>
        <v>micaela.castano123@gmail.com</v>
      </c>
      <c r="C51" s="1" t="str">
        <f>IFERROR(__xludf.DUMMYFUNCTION("""COMPUTED_VALUE"""),"Form_4")</f>
        <v>Form_4</v>
      </c>
    </row>
    <row r="52">
      <c r="A52" s="2">
        <v>51.0</v>
      </c>
      <c r="B52" s="1" t="str">
        <f>IFERROR(__xludf.DUMMYFUNCTION("""COMPUTED_VALUE"""),"carreredalila@gmail.com")</f>
        <v>carreredalila@gmail.com</v>
      </c>
      <c r="C52" s="1" t="str">
        <f>IFERROR(__xludf.DUMMYFUNCTION("""COMPUTED_VALUE"""),"Form_4")</f>
        <v>Form_4</v>
      </c>
    </row>
    <row r="53">
      <c r="A53" s="2">
        <v>52.0</v>
      </c>
      <c r="B53" s="1" t="str">
        <f>IFERROR(__xludf.DUMMYFUNCTION("""COMPUTED_VALUE"""),"")</f>
        <v/>
      </c>
      <c r="C53" s="1" t="str">
        <f>IFERROR(__xludf.DUMMYFUNCTION("""COMPUTED_VALUE"""),"""Form_5""()")</f>
        <v>"Form_5"()</v>
      </c>
    </row>
    <row r="54">
      <c r="A54" s="2">
        <v>53.0</v>
      </c>
      <c r="B54" s="1" t="str">
        <f>IFERROR(__xludf.DUMMYFUNCTION("""COMPUTED_VALUE"""),"giulianagenchi@gmail.com")</f>
        <v>giulianagenchi@gmail.com</v>
      </c>
      <c r="C54" s="1" t="str">
        <f>IFERROR(__xludf.DUMMYFUNCTION("""COMPUTED_VALUE"""),"Form_5")</f>
        <v>Form_5</v>
      </c>
    </row>
    <row r="55">
      <c r="A55" s="2">
        <v>54.0</v>
      </c>
      <c r="B55" s="1" t="str">
        <f>IFERROR(__xludf.DUMMYFUNCTION("""COMPUTED_VALUE"""),"dalo_vidpez@hotmail.com.ar")</f>
        <v>dalo_vidpez@hotmail.com.ar</v>
      </c>
      <c r="C55" s="1" t="str">
        <f>IFERROR(__xludf.DUMMYFUNCTION("""COMPUTED_VALUE"""),"Form_5")</f>
        <v>Form_5</v>
      </c>
    </row>
    <row r="56">
      <c r="A56" s="2">
        <v>55.0</v>
      </c>
      <c r="B56" s="1" t="str">
        <f>IFERROR(__xludf.DUMMYFUNCTION("""COMPUTED_VALUE"""),"gastonagustin09@gmail.com")</f>
        <v>gastonagustin09@gmail.com</v>
      </c>
      <c r="C56" s="1" t="str">
        <f>IFERROR(__xludf.DUMMYFUNCTION("""COMPUTED_VALUE"""),"Form_5")</f>
        <v>Form_5</v>
      </c>
    </row>
    <row r="57">
      <c r="A57" s="2">
        <v>56.0</v>
      </c>
      <c r="B57" s="1" t="str">
        <f>IFERROR(__xludf.DUMMYFUNCTION("""COMPUTED_VALUE"""),"Shuly.97.7@gmail.com")</f>
        <v>Shuly.97.7@gmail.com</v>
      </c>
      <c r="C57" s="1" t="str">
        <f>IFERROR(__xludf.DUMMYFUNCTION("""COMPUTED_VALUE"""),"Form_5")</f>
        <v>Form_5</v>
      </c>
    </row>
    <row r="58">
      <c r="A58" s="2">
        <v>57.0</v>
      </c>
      <c r="B58" s="1" t="str">
        <f>IFERROR(__xludf.DUMMYFUNCTION("""COMPUTED_VALUE"""),"camipau117@gmail.com")</f>
        <v>camipau117@gmail.com</v>
      </c>
      <c r="C58" s="1" t="str">
        <f>IFERROR(__xludf.DUMMYFUNCTION("""COMPUTED_VALUE"""),"Form_5")</f>
        <v>Form_5</v>
      </c>
    </row>
    <row r="59">
      <c r="A59" s="2">
        <v>58.0</v>
      </c>
      <c r="B59" s="1" t="str">
        <f>IFERROR(__xludf.DUMMYFUNCTION("""COMPUTED_VALUE"""),"eve.roht@gmail.com")</f>
        <v>eve.roht@gmail.com</v>
      </c>
      <c r="C59" s="1" t="str">
        <f>IFERROR(__xludf.DUMMYFUNCTION("""COMPUTED_VALUE"""),"Form_5")</f>
        <v>Form_5</v>
      </c>
    </row>
    <row r="60">
      <c r="A60" s="2">
        <v>59.0</v>
      </c>
      <c r="B60" s="1" t="str">
        <f>IFERROR(__xludf.DUMMYFUNCTION("""COMPUTED_VALUE"""),"Manusanchezchaves@gmail.com")</f>
        <v>Manusanchezchaves@gmail.com</v>
      </c>
      <c r="C60" s="1" t="str">
        <f>IFERROR(__xludf.DUMMYFUNCTION("""COMPUTED_VALUE"""),"Form_5")</f>
        <v>Form_5</v>
      </c>
    </row>
    <row r="61">
      <c r="A61" s="2">
        <v>60.0</v>
      </c>
      <c r="B61" s="1" t="str">
        <f>IFERROR(__xludf.DUMMYFUNCTION("""COMPUTED_VALUE"""),"Mariasolgalindez00@gmail.com")</f>
        <v>Mariasolgalindez00@gmail.com</v>
      </c>
      <c r="C61" s="1" t="str">
        <f>IFERROR(__xludf.DUMMYFUNCTION("""COMPUTED_VALUE"""),"Form_5")</f>
        <v>Form_5</v>
      </c>
    </row>
    <row r="62">
      <c r="A62" s="2">
        <v>61.0</v>
      </c>
      <c r="B62" s="1" t="str">
        <f>IFERROR(__xludf.DUMMYFUNCTION("""COMPUTED_VALUE"""),"guana_santos@hotmail.com")</f>
        <v>guana_santos@hotmail.com</v>
      </c>
      <c r="C62" s="1" t="str">
        <f>IFERROR(__xludf.DUMMYFUNCTION("""COMPUTED_VALUE"""),"Form_5")</f>
        <v>Form_5</v>
      </c>
    </row>
    <row r="63">
      <c r="A63" s="2">
        <v>62.0</v>
      </c>
      <c r="B63" s="1" t="str">
        <f>IFERROR(__xludf.DUMMYFUNCTION("""COMPUTED_VALUE"""),"mairossinii@gmail.com")</f>
        <v>mairossinii@gmail.com</v>
      </c>
      <c r="C63" s="1" t="str">
        <f>IFERROR(__xludf.DUMMYFUNCTION("""COMPUTED_VALUE"""),"Form_5")</f>
        <v>Form_5</v>
      </c>
    </row>
    <row r="64">
      <c r="A64" s="2">
        <v>63.0</v>
      </c>
      <c r="B64" s="1" t="str">
        <f>IFERROR(__xludf.DUMMYFUNCTION("""COMPUTED_VALUE"""),"francocornachoni@gmail.com")</f>
        <v>francocornachoni@gmail.com</v>
      </c>
      <c r="C64" s="1" t="str">
        <f>IFERROR(__xludf.DUMMYFUNCTION("""COMPUTED_VALUE"""),"Form_5")</f>
        <v>Form_5</v>
      </c>
    </row>
    <row r="65">
      <c r="A65" s="2">
        <v>64.0</v>
      </c>
      <c r="B65" s="1" t="str">
        <f>IFERROR(__xludf.DUMMYFUNCTION("""COMPUTED_VALUE"""),"Rodrigoagustinrodriguez@hotmail.com")</f>
        <v>Rodrigoagustinrodriguez@hotmail.com</v>
      </c>
      <c r="C65" s="1" t="str">
        <f>IFERROR(__xludf.DUMMYFUNCTION("""COMPUTED_VALUE"""),"Form_5")</f>
        <v>Form_5</v>
      </c>
    </row>
    <row r="66">
      <c r="A66" s="2">
        <v>65.0</v>
      </c>
      <c r="B66" s="1" t="str">
        <f>IFERROR(__xludf.DUMMYFUNCTION("""COMPUTED_VALUE"""),"Carolaflorencia96@gmail.com")</f>
        <v>Carolaflorencia96@gmail.com</v>
      </c>
      <c r="C66" s="1" t="str">
        <f>IFERROR(__xludf.DUMMYFUNCTION("""COMPUTED_VALUE"""),"Form_5")</f>
        <v>Form_5</v>
      </c>
    </row>
    <row r="67">
      <c r="A67" s="2">
        <v>66.0</v>
      </c>
      <c r="B67" s="1" t="str">
        <f>IFERROR(__xludf.DUMMYFUNCTION("""COMPUTED_VALUE"""),"")</f>
        <v/>
      </c>
      <c r="C67" s="1" t="str">
        <f>IFERROR(__xludf.DUMMYFUNCTION("""COMPUTED_VALUE"""),"""Form_6""()")</f>
        <v>"Form_6"()</v>
      </c>
    </row>
    <row r="68">
      <c r="A68" s="2">
        <v>67.0</v>
      </c>
      <c r="B68" s="1" t="str">
        <f>IFERROR(__xludf.DUMMYFUNCTION("""COMPUTED_VALUE"""),"cande.29.jz@gmail.com ")</f>
        <v>cande.29.jz@gmail.com </v>
      </c>
      <c r="C68" s="1" t="str">
        <f>IFERROR(__xludf.DUMMYFUNCTION("""COMPUTED_VALUE"""),"Form_6")</f>
        <v>Form_6</v>
      </c>
    </row>
    <row r="69">
      <c r="A69" s="2">
        <v>68.0</v>
      </c>
      <c r="B69" s="1" t="str">
        <f>IFERROR(__xludf.DUMMYFUNCTION("""COMPUTED_VALUE"""),"diego.rojas2001@hotmail.com")</f>
        <v>diego.rojas2001@hotmail.com</v>
      </c>
      <c r="C69" s="1" t="str">
        <f>IFERROR(__xludf.DUMMYFUNCTION("""COMPUTED_VALUE"""),"Form_6")</f>
        <v>Form_6</v>
      </c>
    </row>
    <row r="70">
      <c r="A70" s="2">
        <v>69.0</v>
      </c>
      <c r="B70" s="1" t="str">
        <f>IFERROR(__xludf.DUMMYFUNCTION("""COMPUTED_VALUE"""),"ivanromerorc@gmail.com")</f>
        <v>ivanromerorc@gmail.com</v>
      </c>
      <c r="C70" s="1" t="str">
        <f>IFERROR(__xludf.DUMMYFUNCTION("""COMPUTED_VALUE"""),"Form_6")</f>
        <v>Form_6</v>
      </c>
    </row>
    <row r="71">
      <c r="A71" s="2">
        <v>70.0</v>
      </c>
      <c r="B71" s="1" t="str">
        <f>IFERROR(__xludf.DUMMYFUNCTION("""COMPUTED_VALUE"""),"aylenatay@gmail.com")</f>
        <v>aylenatay@gmail.com</v>
      </c>
      <c r="C71" s="1" t="str">
        <f>IFERROR(__xludf.DUMMYFUNCTION("""COMPUTED_VALUE"""),"Form_6")</f>
        <v>Form_6</v>
      </c>
    </row>
    <row r="72">
      <c r="A72" s="2">
        <v>71.0</v>
      </c>
      <c r="B72" s="1" t="str">
        <f>IFERROR(__xludf.DUMMYFUNCTION("""COMPUTED_VALUE"""),"Florenciasinconi@gmail.com")</f>
        <v>Florenciasinconi@gmail.com</v>
      </c>
      <c r="C72" s="1" t="str">
        <f>IFERROR(__xludf.DUMMYFUNCTION("""COMPUTED_VALUE"""),"Form_6")</f>
        <v>Form_6</v>
      </c>
    </row>
    <row r="73">
      <c r="A73" s="2">
        <v>72.0</v>
      </c>
      <c r="B73" s="1" t="str">
        <f>IFERROR(__xludf.DUMMYFUNCTION("""COMPUTED_VALUE"""),"Steffy.sanudo@gmail.com")</f>
        <v>Steffy.sanudo@gmail.com</v>
      </c>
      <c r="C73" s="1" t="str">
        <f>IFERROR(__xludf.DUMMYFUNCTION("""COMPUTED_VALUE"""),"Form_6")</f>
        <v>Form_6</v>
      </c>
    </row>
    <row r="74">
      <c r="A74" s="2">
        <v>73.0</v>
      </c>
      <c r="B74" s="1" t="str">
        <f>IFERROR(__xludf.DUMMYFUNCTION("""COMPUTED_VALUE"""),"andrescentani@gmail.com")</f>
        <v>andrescentani@gmail.com</v>
      </c>
      <c r="C74" s="1" t="str">
        <f>IFERROR(__xludf.DUMMYFUNCTION("""COMPUTED_VALUE"""),"Form_6")</f>
        <v>Form_6</v>
      </c>
    </row>
    <row r="75">
      <c r="A75" s="2">
        <v>74.0</v>
      </c>
      <c r="B75" s="1" t="str">
        <f>IFERROR(__xludf.DUMMYFUNCTION("""COMPUTED_VALUE"""),"mitzizstefano@gmail.com")</f>
        <v>mitzizstefano@gmail.com</v>
      </c>
      <c r="C75" s="1" t="str">
        <f>IFERROR(__xludf.DUMMYFUNCTION("""COMPUTED_VALUE"""),"Form_6")</f>
        <v>Form_6</v>
      </c>
    </row>
    <row r="76">
      <c r="A76" s="2">
        <v>75.0</v>
      </c>
      <c r="B76" s="1" t="str">
        <f>IFERROR(__xludf.DUMMYFUNCTION("""COMPUTED_VALUE"""),"florenciamosman@gmail.com")</f>
        <v>florenciamosman@gmail.com</v>
      </c>
      <c r="C76" s="1" t="str">
        <f>IFERROR(__xludf.DUMMYFUNCTION("""COMPUTED_VALUE"""),"Form_6")</f>
        <v>Form_6</v>
      </c>
    </row>
    <row r="77">
      <c r="A77" s="2">
        <v>76.0</v>
      </c>
      <c r="B77" s="1" t="str">
        <f>IFERROR(__xludf.DUMMYFUNCTION("""COMPUTED_VALUE"""),"fuhralbana@gmail.com")</f>
        <v>fuhralbana@gmail.com</v>
      </c>
      <c r="C77" s="1" t="str">
        <f>IFERROR(__xludf.DUMMYFUNCTION("""COMPUTED_VALUE"""),"Form_6")</f>
        <v>Form_6</v>
      </c>
    </row>
    <row r="78">
      <c r="A78" s="2">
        <v>77.0</v>
      </c>
      <c r="B78" s="1" t="str">
        <f>IFERROR(__xludf.DUMMYFUNCTION("""COMPUTED_VALUE"""),"Pilarfaggiani@gmail.com")</f>
        <v>Pilarfaggiani@gmail.com</v>
      </c>
      <c r="C78" s="1" t="str">
        <f>IFERROR(__xludf.DUMMYFUNCTION("""COMPUTED_VALUE"""),"Form_6")</f>
        <v>Form_6</v>
      </c>
    </row>
    <row r="79">
      <c r="A79" s="2">
        <v>78.0</v>
      </c>
      <c r="B79" s="1" t="str">
        <f>IFERROR(__xludf.DUMMYFUNCTION("""COMPUTED_VALUE"""),"lglorenzetti@gmail.com")</f>
        <v>lglorenzetti@gmail.com</v>
      </c>
      <c r="C79" s="1" t="str">
        <f>IFERROR(__xludf.DUMMYFUNCTION("""COMPUTED_VALUE"""),"Form_6")</f>
        <v>Form_6</v>
      </c>
    </row>
    <row r="80">
      <c r="A80" s="2">
        <v>79.0</v>
      </c>
      <c r="B80" s="1" t="str">
        <f>IFERROR(__xludf.DUMMYFUNCTION("""COMPUTED_VALUE"""),"dimieri17@gmail.com")</f>
        <v>dimieri17@gmail.com</v>
      </c>
      <c r="C80" s="1" t="str">
        <f>IFERROR(__xludf.DUMMYFUNCTION("""COMPUTED_VALUE"""),"Form_6")</f>
        <v>Form_6</v>
      </c>
    </row>
    <row r="81">
      <c r="A81" s="2">
        <v>80.0</v>
      </c>
      <c r="B81" s="1" t="str">
        <f>IFERROR(__xludf.DUMMYFUNCTION("""COMPUTED_VALUE"""),"mmara953@gmail.com")</f>
        <v>mmara953@gmail.com</v>
      </c>
      <c r="C81" s="1" t="str">
        <f>IFERROR(__xludf.DUMMYFUNCTION("""COMPUTED_VALUE"""),"Form_6")</f>
        <v>Form_6</v>
      </c>
    </row>
    <row r="82">
      <c r="A82" s="2">
        <v>81.0</v>
      </c>
      <c r="B82" s="1" t="str">
        <f>IFERROR(__xludf.DUMMYFUNCTION("""COMPUTED_VALUE"""),"camilaborsini21@outlook.com")</f>
        <v>camilaborsini21@outlook.com</v>
      </c>
      <c r="C82" s="1" t="str">
        <f>IFERROR(__xludf.DUMMYFUNCTION("""COMPUTED_VALUE"""),"Form_6")</f>
        <v>Form_6</v>
      </c>
    </row>
    <row r="83">
      <c r="A83" s="2">
        <v>82.0</v>
      </c>
      <c r="B83" s="1" t="str">
        <f>IFERROR(__xludf.DUMMYFUNCTION("""COMPUTED_VALUE"""),"")</f>
        <v/>
      </c>
      <c r="C83" s="1" t="str">
        <f>IFERROR(__xludf.DUMMYFUNCTION("""COMPUTED_VALUE"""),"""Form_7""()")</f>
        <v>"Form_7"()</v>
      </c>
    </row>
    <row r="84">
      <c r="A84" s="2">
        <v>83.0</v>
      </c>
      <c r="B84" s="1" t="str">
        <f>IFERROR(__xludf.DUMMYFUNCTION("""COMPUTED_VALUE"""),"florenciandino21@gmail.com")</f>
        <v>florenciandino21@gmail.com</v>
      </c>
      <c r="C84" s="1" t="str">
        <f>IFERROR(__xludf.DUMMYFUNCTION("""COMPUTED_VALUE"""),"Form_7")</f>
        <v>Form_7</v>
      </c>
    </row>
    <row r="85">
      <c r="A85" s="2">
        <v>84.0</v>
      </c>
      <c r="B85" s="1" t="str">
        <f>IFERROR(__xludf.DUMMYFUNCTION("""COMPUTED_VALUE"""),"Julidellarda@gmail.com")</f>
        <v>Julidellarda@gmail.com</v>
      </c>
      <c r="C85" s="1" t="str">
        <f>IFERROR(__xludf.DUMMYFUNCTION("""COMPUTED_VALUE"""),"Form_7")</f>
        <v>Form_7</v>
      </c>
    </row>
    <row r="86">
      <c r="A86" s="2">
        <v>85.0</v>
      </c>
      <c r="B86" s="1" t="str">
        <f>IFERROR(__xludf.DUMMYFUNCTION("""COMPUTED_VALUE"""),"franpetruccelli.020@gmail.com")</f>
        <v>franpetruccelli.020@gmail.com</v>
      </c>
      <c r="C86" s="1" t="str">
        <f>IFERROR(__xludf.DUMMYFUNCTION("""COMPUTED_VALUE"""),"Form_7")</f>
        <v>Form_7</v>
      </c>
    </row>
    <row r="87">
      <c r="A87" s="2">
        <v>86.0</v>
      </c>
      <c r="B87" s="1" t="str">
        <f>IFERROR(__xludf.DUMMYFUNCTION("""COMPUTED_VALUE"""),"iriartemavictoria@gmail.com")</f>
        <v>iriartemavictoria@gmail.com</v>
      </c>
      <c r="C87" s="1" t="str">
        <f>IFERROR(__xludf.DUMMYFUNCTION("""COMPUTED_VALUE"""),"Form_7")</f>
        <v>Form_7</v>
      </c>
    </row>
    <row r="88">
      <c r="A88" s="2">
        <v>87.0</v>
      </c>
      <c r="B88" s="1" t="str">
        <f>IFERROR(__xludf.DUMMYFUNCTION("""COMPUTED_VALUE"""),"tom2002bau@gmail.com")</f>
        <v>tom2002bau@gmail.com</v>
      </c>
      <c r="C88" s="1" t="str">
        <f>IFERROR(__xludf.DUMMYFUNCTION("""COMPUTED_VALUE"""),"Form_7")</f>
        <v>Form_7</v>
      </c>
    </row>
    <row r="89">
      <c r="A89" s="2">
        <v>88.0</v>
      </c>
      <c r="B89" s="1" t="str">
        <f>IFERROR(__xludf.DUMMYFUNCTION("""COMPUTED_VALUE"""),"cintiacasarete1590@gmail.com")</f>
        <v>cintiacasarete1590@gmail.com</v>
      </c>
      <c r="C89" s="1" t="str">
        <f>IFERROR(__xludf.DUMMYFUNCTION("""COMPUTED_VALUE"""),"Form_7")</f>
        <v>Form_7</v>
      </c>
    </row>
    <row r="90">
      <c r="A90" s="2">
        <v>89.0</v>
      </c>
      <c r="B90" s="1" t="str">
        <f>IFERROR(__xludf.DUMMYFUNCTION("""COMPUTED_VALUE"""),"belu.teatro@gmail.com")</f>
        <v>belu.teatro@gmail.com</v>
      </c>
      <c r="C90" s="1" t="str">
        <f>IFERROR(__xludf.DUMMYFUNCTION("""COMPUTED_VALUE"""),"Form_7")</f>
        <v>Form_7</v>
      </c>
    </row>
    <row r="91">
      <c r="A91" s="2">
        <v>90.0</v>
      </c>
      <c r="B91" s="1" t="str">
        <f>IFERROR(__xludf.DUMMYFUNCTION("""COMPUTED_VALUE"""),"fede.fg13@gmail.com")</f>
        <v>fede.fg13@gmail.com</v>
      </c>
      <c r="C91" s="1" t="str">
        <f>IFERROR(__xludf.DUMMYFUNCTION("""COMPUTED_VALUE"""),"Form_7")</f>
        <v>Form_7</v>
      </c>
    </row>
    <row r="92">
      <c r="A92" s="2">
        <v>91.0</v>
      </c>
      <c r="B92" s="1" t="str">
        <f>IFERROR(__xludf.DUMMYFUNCTION("""COMPUTED_VALUE"""),"dany.ea@hotmail.com.ar")</f>
        <v>dany.ea@hotmail.com.ar</v>
      </c>
      <c r="C92" s="1" t="str">
        <f>IFERROR(__xludf.DUMMYFUNCTION("""COMPUTED_VALUE"""),"Form_7")</f>
        <v>Form_7</v>
      </c>
    </row>
    <row r="93">
      <c r="A93" s="2">
        <v>92.0</v>
      </c>
      <c r="B93" s="1" t="str">
        <f>IFERROR(__xludf.DUMMYFUNCTION("""COMPUTED_VALUE"""),"marifercs2003@gmail.com")</f>
        <v>marifercs2003@gmail.com</v>
      </c>
      <c r="C93" s="1" t="str">
        <f>IFERROR(__xludf.DUMMYFUNCTION("""COMPUTED_VALUE"""),"Form_7")</f>
        <v>Form_7</v>
      </c>
    </row>
    <row r="94">
      <c r="A94" s="2">
        <v>93.0</v>
      </c>
      <c r="B94" s="1" t="str">
        <f>IFERROR(__xludf.DUMMYFUNCTION("""COMPUTED_VALUE"""),"Tamarawalter20@gmail.com")</f>
        <v>Tamarawalter20@gmail.com</v>
      </c>
      <c r="C94" s="1" t="str">
        <f>IFERROR(__xludf.DUMMYFUNCTION("""COMPUTED_VALUE"""),"Form_7")</f>
        <v>Form_7</v>
      </c>
    </row>
    <row r="95">
      <c r="A95" s="2">
        <v>94.0</v>
      </c>
      <c r="B95" s="1" t="str">
        <f>IFERROR(__xludf.DUMMYFUNCTION("""COMPUTED_VALUE"""),"Marmrcs@gmail.com")</f>
        <v>Marmrcs@gmail.com</v>
      </c>
      <c r="C95" s="1" t="str">
        <f>IFERROR(__xludf.DUMMYFUNCTION("""COMPUTED_VALUE"""),"Form_7")</f>
        <v>Form_7</v>
      </c>
    </row>
    <row r="96">
      <c r="A96" s="2">
        <v>95.0</v>
      </c>
      <c r="B96" s="1" t="str">
        <f>IFERROR(__xludf.DUMMYFUNCTION("""COMPUTED_VALUE"""),"")</f>
        <v/>
      </c>
      <c r="C96" s="1" t="str">
        <f>IFERROR(__xludf.DUMMYFUNCTION("""COMPUTED_VALUE"""),"""Form_8""()")</f>
        <v>"Form_8"()</v>
      </c>
    </row>
    <row r="97">
      <c r="A97" s="2">
        <v>96.0</v>
      </c>
      <c r="B97" s="1" t="str">
        <f>IFERROR(__xludf.DUMMYFUNCTION("""COMPUTED_VALUE"""),"aldi.antonini@gmail.com")</f>
        <v>aldi.antonini@gmail.com</v>
      </c>
      <c r="C97" s="1" t="str">
        <f>IFERROR(__xludf.DUMMYFUNCTION("""COMPUTED_VALUE"""),"Form_8")</f>
        <v>Form_8</v>
      </c>
    </row>
    <row r="98">
      <c r="A98" s="2">
        <v>97.0</v>
      </c>
      <c r="B98" s="1" t="str">
        <f>IFERROR(__xludf.DUMMYFUNCTION("""COMPUTED_VALUE"""),"matyalej2002@gmail.com")</f>
        <v>matyalej2002@gmail.com</v>
      </c>
      <c r="C98" s="1" t="str">
        <f>IFERROR(__xludf.DUMMYFUNCTION("""COMPUTED_VALUE"""),"Form_8")</f>
        <v>Form_8</v>
      </c>
    </row>
    <row r="99">
      <c r="A99" s="2">
        <v>98.0</v>
      </c>
      <c r="B99" s="1" t="str">
        <f>IFERROR(__xludf.DUMMYFUNCTION("""COMPUTED_VALUE"""),"lararoldann@hotmail.com ")</f>
        <v>lararoldann@hotmail.com </v>
      </c>
      <c r="C99" s="1" t="str">
        <f>IFERROR(__xludf.DUMMYFUNCTION("""COMPUTED_VALUE"""),"Form_8")</f>
        <v>Form_8</v>
      </c>
    </row>
    <row r="100">
      <c r="A100" s="2">
        <v>99.0</v>
      </c>
      <c r="B100" s="1" t="str">
        <f>IFERROR(__xludf.DUMMYFUNCTION("""COMPUTED_VALUE"""),"marc.97.37@gmail.com")</f>
        <v>marc.97.37@gmail.com</v>
      </c>
      <c r="C100" s="1" t="str">
        <f>IFERROR(__xludf.DUMMYFUNCTION("""COMPUTED_VALUE"""),"Form_8")</f>
        <v>Form_8</v>
      </c>
    </row>
    <row r="101">
      <c r="A101" s="2">
        <v>100.0</v>
      </c>
      <c r="B101" s="1" t="str">
        <f>IFERROR(__xludf.DUMMYFUNCTION("""COMPUTED_VALUE"""),"Kfannyayaviri@gmail.com")</f>
        <v>Kfannyayaviri@gmail.com</v>
      </c>
      <c r="C101" s="1" t="str">
        <f>IFERROR(__xludf.DUMMYFUNCTION("""COMPUTED_VALUE"""),"Form_8")</f>
        <v>Form_8</v>
      </c>
    </row>
    <row r="102">
      <c r="A102" s="2">
        <v>101.0</v>
      </c>
      <c r="B102" s="1" t="str">
        <f>IFERROR(__xludf.DUMMYFUNCTION("""COMPUTED_VALUE"""),"azultersol@gmail.com")</f>
        <v>azultersol@gmail.com</v>
      </c>
      <c r="C102" s="1" t="str">
        <f>IFERROR(__xludf.DUMMYFUNCTION("""COMPUTED_VALUE"""),"Form_8")</f>
        <v>Form_8</v>
      </c>
    </row>
    <row r="103">
      <c r="A103" s="2">
        <v>102.0</v>
      </c>
      <c r="B103" s="1" t="str">
        <f>IFERROR(__xludf.DUMMYFUNCTION("""COMPUTED_VALUE"""),"solpaillalef98@gmail.com")</f>
        <v>solpaillalef98@gmail.com</v>
      </c>
      <c r="C103" s="1" t="str">
        <f>IFERROR(__xludf.DUMMYFUNCTION("""COMPUTED_VALUE"""),"Form_8")</f>
        <v>Form_8</v>
      </c>
    </row>
    <row r="104">
      <c r="A104" s="2">
        <v>103.0</v>
      </c>
      <c r="B104" s="1" t="str">
        <f>IFERROR(__xludf.DUMMYFUNCTION("""COMPUTED_VALUE"""),"gerogardiee@gmail.com")</f>
        <v>gerogardiee@gmail.com</v>
      </c>
      <c r="C104" s="1" t="str">
        <f>IFERROR(__xludf.DUMMYFUNCTION("""COMPUTED_VALUE"""),"Form_8")</f>
        <v>Form_8</v>
      </c>
    </row>
    <row r="105">
      <c r="A105" s="2">
        <v>104.0</v>
      </c>
      <c r="B105" s="1" t="str">
        <f>IFERROR(__xludf.DUMMYFUNCTION("""COMPUTED_VALUE"""),"martasusanamiran@gmail.com")</f>
        <v>martasusanamiran@gmail.com</v>
      </c>
      <c r="C105" s="1" t="str">
        <f>IFERROR(__xludf.DUMMYFUNCTION("""COMPUTED_VALUE"""),"Form_8")</f>
        <v>Form_8</v>
      </c>
    </row>
    <row r="106">
      <c r="A106" s="2">
        <v>105.0</v>
      </c>
      <c r="B106" s="1" t="str">
        <f>IFERROR(__xludf.DUMMYFUNCTION("""COMPUTED_VALUE"""),"valeriamansilla.gcp@gmail.com")</f>
        <v>valeriamansilla.gcp@gmail.com</v>
      </c>
      <c r="C106" s="1" t="str">
        <f>IFERROR(__xludf.DUMMYFUNCTION("""COMPUTED_VALUE"""),"Form_8")</f>
        <v>Form_8</v>
      </c>
    </row>
    <row r="107">
      <c r="A107" s="2">
        <v>106.0</v>
      </c>
      <c r="B107" s="1" t="str">
        <f>IFERROR(__xludf.DUMMYFUNCTION("""COMPUTED_VALUE"""),"priscy007casalla@gmail.com")</f>
        <v>priscy007casalla@gmail.com</v>
      </c>
      <c r="C107" s="1" t="str">
        <f>IFERROR(__xludf.DUMMYFUNCTION("""COMPUTED_VALUE"""),"Form_8")</f>
        <v>Form_8</v>
      </c>
    </row>
    <row r="108">
      <c r="A108" s="2">
        <v>107.0</v>
      </c>
      <c r="B108" s="1" t="str">
        <f>IFERROR(__xludf.DUMMYFUNCTION("""COMPUTED_VALUE"""),"luchii.vecchiotti@gmail.com")</f>
        <v>luchii.vecchiotti@gmail.com</v>
      </c>
      <c r="C108" s="1" t="str">
        <f>IFERROR(__xludf.DUMMYFUNCTION("""COMPUTED_VALUE"""),"Form_8")</f>
        <v>Form_8</v>
      </c>
    </row>
    <row r="109">
      <c r="A109" s="2">
        <v>108.0</v>
      </c>
      <c r="B109" s="1" t="str">
        <f>IFERROR(__xludf.DUMMYFUNCTION("""COMPUTED_VALUE"""),"laimedavid269@gmail.com")</f>
        <v>laimedavid269@gmail.com</v>
      </c>
      <c r="C109" s="1" t="str">
        <f>IFERROR(__xludf.DUMMYFUNCTION("""COMPUTED_VALUE"""),"Form_8")</f>
        <v>Form_8</v>
      </c>
    </row>
    <row r="110">
      <c r="A110" s="2">
        <v>109.0</v>
      </c>
      <c r="B110" s="1" t="str">
        <f>IFERROR(__xludf.DUMMYFUNCTION("""COMPUTED_VALUE"""),"noahmaisterrena@gmail.com")</f>
        <v>noahmaisterrena@gmail.com</v>
      </c>
      <c r="C110" s="1" t="str">
        <f>IFERROR(__xludf.DUMMYFUNCTION("""COMPUTED_VALUE"""),"Form_8")</f>
        <v>Form_8</v>
      </c>
    </row>
    <row r="111">
      <c r="A111" s="2">
        <v>110.0</v>
      </c>
      <c r="B111" s="1" t="str">
        <f>IFERROR(__xludf.DUMMYFUNCTION("""COMPUTED_VALUE"""),"antozengarini@hotmail.com")</f>
        <v>antozengarini@hotmail.com</v>
      </c>
      <c r="C111" s="1" t="str">
        <f>IFERROR(__xludf.DUMMYFUNCTION("""COMPUTED_VALUE"""),"Form_8")</f>
        <v>Form_8</v>
      </c>
    </row>
    <row r="112">
      <c r="A112" s="2">
        <v>111.0</v>
      </c>
      <c r="B112" s="1" t="str">
        <f>IFERROR(__xludf.DUMMYFUNCTION("""COMPUTED_VALUE"""),"")</f>
        <v/>
      </c>
      <c r="C112" s="1" t="str">
        <f>IFERROR(__xludf.DUMMYFUNCTION("""COMPUTED_VALUE"""),"""Form_9""()")</f>
        <v>"Form_9"()</v>
      </c>
    </row>
    <row r="113">
      <c r="A113" s="2">
        <v>112.0</v>
      </c>
      <c r="B113" s="1" t="str">
        <f>IFERROR(__xludf.DUMMYFUNCTION("""COMPUTED_VALUE"""),"nerifranco@hotmail.com.ar")</f>
        <v>nerifranco@hotmail.com.ar</v>
      </c>
      <c r="C113" s="1" t="str">
        <f>IFERROR(__xludf.DUMMYFUNCTION("""COMPUTED_VALUE"""),"Form_9")</f>
        <v>Form_9</v>
      </c>
    </row>
    <row r="114">
      <c r="A114" s="2">
        <v>113.0</v>
      </c>
      <c r="B114" s="1" t="str">
        <f>IFERROR(__xludf.DUMMYFUNCTION("""COMPUTED_VALUE"""),"Lourdes.lezcano@hotmail.com")</f>
        <v>Lourdes.lezcano@hotmail.com</v>
      </c>
      <c r="C114" s="1" t="str">
        <f>IFERROR(__xludf.DUMMYFUNCTION("""COMPUTED_VALUE"""),"Form_9")</f>
        <v>Form_9</v>
      </c>
    </row>
    <row r="115">
      <c r="A115" s="2">
        <v>114.0</v>
      </c>
      <c r="B115" s="1" t="str">
        <f>IFERROR(__xludf.DUMMYFUNCTION("""COMPUTED_VALUE"""),"tizianaduena2002@gmail.com")</f>
        <v>tizianaduena2002@gmail.com</v>
      </c>
      <c r="C115" s="1" t="str">
        <f>IFERROR(__xludf.DUMMYFUNCTION("""COMPUTED_VALUE"""),"Form_9")</f>
        <v>Form_9</v>
      </c>
    </row>
    <row r="116">
      <c r="A116" s="2">
        <v>115.0</v>
      </c>
      <c r="B116" s="1" t="str">
        <f>IFERROR(__xludf.DUMMYFUNCTION("""COMPUTED_VALUE"""),"marielkeil@gmail.com")</f>
        <v>marielkeil@gmail.com</v>
      </c>
      <c r="C116" s="1" t="str">
        <f>IFERROR(__xludf.DUMMYFUNCTION("""COMPUTED_VALUE"""),"Form_9")</f>
        <v>Form_9</v>
      </c>
    </row>
    <row r="117">
      <c r="A117" s="2">
        <v>116.0</v>
      </c>
      <c r="B117" s="1" t="str">
        <f>IFERROR(__xludf.DUMMYFUNCTION("""COMPUTED_VALUE"""),"gabrielgasaku@gmail.com")</f>
        <v>gabrielgasaku@gmail.com</v>
      </c>
      <c r="C117" s="1" t="str">
        <f>IFERROR(__xludf.DUMMYFUNCTION("""COMPUTED_VALUE"""),"Form_9")</f>
        <v>Form_9</v>
      </c>
    </row>
    <row r="118">
      <c r="A118" s="2">
        <v>117.0</v>
      </c>
      <c r="B118" s="1" t="str">
        <f>IFERROR(__xludf.DUMMYFUNCTION("""COMPUTED_VALUE"""),"marialourdessanchez2001@gmail.com")</f>
        <v>marialourdessanchez2001@gmail.com</v>
      </c>
      <c r="C118" s="1" t="str">
        <f>IFERROR(__xludf.DUMMYFUNCTION("""COMPUTED_VALUE"""),"Form_9")</f>
        <v>Form_9</v>
      </c>
    </row>
    <row r="119">
      <c r="A119" s="2">
        <v>118.0</v>
      </c>
      <c r="B119" s="1" t="str">
        <f>IFERROR(__xludf.DUMMYFUNCTION("""COMPUTED_VALUE"""),"lic.florermantraut@gmail.com")</f>
        <v>lic.florermantraut@gmail.com</v>
      </c>
      <c r="C119" s="1" t="str">
        <f>IFERROR(__xludf.DUMMYFUNCTION("""COMPUTED_VALUE"""),"Form_9")</f>
        <v>Form_9</v>
      </c>
    </row>
    <row r="120">
      <c r="A120" s="2">
        <v>119.0</v>
      </c>
      <c r="B120" s="1" t="str">
        <f>IFERROR(__xludf.DUMMYFUNCTION("""COMPUTED_VALUE"""),"ybaratelli@gmail.com")</f>
        <v>ybaratelli@gmail.com</v>
      </c>
      <c r="C120" s="1" t="str">
        <f>IFERROR(__xludf.DUMMYFUNCTION("""COMPUTED_VALUE"""),"Form_9")</f>
        <v>Form_9</v>
      </c>
    </row>
    <row r="121">
      <c r="A121" s="2">
        <v>120.0</v>
      </c>
      <c r="B121" s="1" t="str">
        <f>IFERROR(__xludf.DUMMYFUNCTION("""COMPUTED_VALUE"""),"lautiyema12@gmail.com")</f>
        <v>lautiyema12@gmail.com</v>
      </c>
      <c r="C121" s="1" t="str">
        <f>IFERROR(__xludf.DUMMYFUNCTION("""COMPUTED_VALUE"""),"Form_9")</f>
        <v>Form_9</v>
      </c>
    </row>
    <row r="122">
      <c r="A122" s="2">
        <v>121.0</v>
      </c>
      <c r="B122" s="1" t="str">
        <f>IFERROR(__xludf.DUMMYFUNCTION("""COMPUTED_VALUE"""),"Jenny_negrin@hotmail.com")</f>
        <v>Jenny_negrin@hotmail.com</v>
      </c>
      <c r="C122" s="1" t="str">
        <f>IFERROR(__xludf.DUMMYFUNCTION("""COMPUTED_VALUE"""),"Form_9")</f>
        <v>Form_9</v>
      </c>
    </row>
    <row r="123">
      <c r="A123" s="2">
        <v>122.0</v>
      </c>
      <c r="B123" s="1" t="str">
        <f>IFERROR(__xludf.DUMMYFUNCTION("""COMPUTED_VALUE"""),"roque2202@gmail.com")</f>
        <v>roque2202@gmail.com</v>
      </c>
      <c r="C123" s="1" t="str">
        <f>IFERROR(__xludf.DUMMYFUNCTION("""COMPUTED_VALUE"""),"Form_9")</f>
        <v>Form_9</v>
      </c>
    </row>
    <row r="124">
      <c r="A124" s="2">
        <v>123.0</v>
      </c>
      <c r="B124" s="1" t="str">
        <f>IFERROR(__xludf.DUMMYFUNCTION("""COMPUTED_VALUE"""),"")</f>
        <v/>
      </c>
      <c r="C124" s="1" t="str">
        <f>IFERROR(__xludf.DUMMYFUNCTION("""COMPUTED_VALUE"""),"""Form_10""()")</f>
        <v>"Form_10"()</v>
      </c>
    </row>
    <row r="125">
      <c r="A125" s="2">
        <v>124.0</v>
      </c>
      <c r="B125" s="1" t="str">
        <f>IFERROR(__xludf.DUMMYFUNCTION("""COMPUTED_VALUE"""),"roouberiaholtz@gmail.com")</f>
        <v>roouberiaholtz@gmail.com</v>
      </c>
      <c r="C125" s="1" t="str">
        <f>IFERROR(__xludf.DUMMYFUNCTION("""COMPUTED_VALUE"""),"Form_10")</f>
        <v>Form_10</v>
      </c>
    </row>
    <row r="126">
      <c r="A126" s="2">
        <v>125.0</v>
      </c>
      <c r="B126" s="1" t="str">
        <f>IFERROR(__xludf.DUMMYFUNCTION("""COMPUTED_VALUE"""),"javillarrealmurua@gmail.com")</f>
        <v>javillarrealmurua@gmail.com</v>
      </c>
      <c r="C126" s="1" t="str">
        <f>IFERROR(__xludf.DUMMYFUNCTION("""COMPUTED_VALUE"""),"Form_10")</f>
        <v>Form_10</v>
      </c>
    </row>
    <row r="127">
      <c r="A127" s="2">
        <v>126.0</v>
      </c>
      <c r="B127" s="1" t="str">
        <f>IFERROR(__xludf.DUMMYFUNCTION("""COMPUTED_VALUE"""),"aylen_reque14@hotmail.com")</f>
        <v>aylen_reque14@hotmail.com</v>
      </c>
      <c r="C127" s="1" t="str">
        <f>IFERROR(__xludf.DUMMYFUNCTION("""COMPUTED_VALUE"""),"Form_10")</f>
        <v>Form_10</v>
      </c>
    </row>
    <row r="128">
      <c r="A128" s="2">
        <v>127.0</v>
      </c>
      <c r="B128" s="1" t="str">
        <f>IFERROR(__xludf.DUMMYFUNCTION("""COMPUTED_VALUE"""),"luchistafolani@gmail.com")</f>
        <v>luchistafolani@gmail.com</v>
      </c>
      <c r="C128" s="1" t="str">
        <f>IFERROR(__xludf.DUMMYFUNCTION("""COMPUTED_VALUE"""),"Form_10")</f>
        <v>Form_10</v>
      </c>
    </row>
    <row r="129">
      <c r="B129" s="1" t="str">
        <f>IFERROR(__xludf.DUMMYFUNCTION("""COMPUTED_VALUE"""),"Silviamabelp05@gmail.com")</f>
        <v>Silviamabelp05@gmail.com</v>
      </c>
      <c r="C129" s="1" t="str">
        <f>IFERROR(__xludf.DUMMYFUNCTION("""COMPUTED_VALUE"""),"Form_10")</f>
        <v>Form_10</v>
      </c>
    </row>
    <row r="130">
      <c r="B130" s="1" t="str">
        <f>IFERROR(__xludf.DUMMYFUNCTION("""COMPUTED_VALUE"""),"jdopulos@yahoo.com.ar")</f>
        <v>jdopulos@yahoo.com.ar</v>
      </c>
      <c r="C130" s="1" t="str">
        <f>IFERROR(__xludf.DUMMYFUNCTION("""COMPUTED_VALUE"""),"Form_10")</f>
        <v>Form_10</v>
      </c>
    </row>
    <row r="131">
      <c r="B131" s="1" t="str">
        <f>IFERROR(__xludf.DUMMYFUNCTION("""COMPUTED_VALUE"""),"Maca_364@hotmail.com")</f>
        <v>Maca_364@hotmail.com</v>
      </c>
      <c r="C131" s="1" t="str">
        <f>IFERROR(__xludf.DUMMYFUNCTION("""COMPUTED_VALUE"""),"Form_10")</f>
        <v>Form_10</v>
      </c>
    </row>
    <row r="132">
      <c r="B132" s="1" t="str">
        <f>IFERROR(__xludf.DUMMYFUNCTION("""COMPUTED_VALUE"""),"galomercer@hotmail.com")</f>
        <v>galomercer@hotmail.com</v>
      </c>
      <c r="C132" s="1" t="str">
        <f>IFERROR(__xludf.DUMMYFUNCTION("""COMPUTED_VALUE"""),"Form_10")</f>
        <v>Form_10</v>
      </c>
    </row>
    <row r="133">
      <c r="B133" s="1" t="str">
        <f>IFERROR(__xludf.DUMMYFUNCTION("""COMPUTED_VALUE"""),"tassaraagus@gmail.com")</f>
        <v>tassaraagus@gmail.com</v>
      </c>
      <c r="C133" s="1" t="str">
        <f>IFERROR(__xludf.DUMMYFUNCTION("""COMPUTED_VALUE"""),"Form_10")</f>
        <v>Form_10</v>
      </c>
    </row>
    <row r="134">
      <c r="B134" s="1" t="str">
        <f>IFERROR(__xludf.DUMMYFUNCTION("""COMPUTED_VALUE"""),"Karinarocb@gmail.com")</f>
        <v>Karinarocb@gmail.com</v>
      </c>
      <c r="C134" s="1" t="str">
        <f>IFERROR(__xludf.DUMMYFUNCTION("""COMPUTED_VALUE"""),"Form_10")</f>
        <v>Form_10</v>
      </c>
    </row>
    <row r="135">
      <c r="B135" s="1" t="str">
        <f>IFERROR(__xludf.DUMMYFUNCTION("""COMPUTED_VALUE"""),"melu.9.fdc@gmail.com")</f>
        <v>melu.9.fdc@gmail.com</v>
      </c>
      <c r="C135" s="1" t="str">
        <f>IFERROR(__xludf.DUMMYFUNCTION("""COMPUTED_VALUE"""),"Form_10")</f>
        <v>Form_10</v>
      </c>
    </row>
    <row r="136">
      <c r="B136" s="1" t="str">
        <f>IFERROR(__xludf.DUMMYFUNCTION("""COMPUTED_VALUE"""),"santinagutierrez@hotmail.com")</f>
        <v>santinagutierrez@hotmail.com</v>
      </c>
      <c r="C136" s="1" t="str">
        <f>IFERROR(__xludf.DUMMYFUNCTION("""COMPUTED_VALUE"""),"Form_10")</f>
        <v>Form_10</v>
      </c>
    </row>
    <row r="137">
      <c r="B137" s="1" t="str">
        <f>IFERROR(__xludf.DUMMYFUNCTION("""COMPUTED_VALUE"""),"acevdenise92@gmail.com")</f>
        <v>acevdenise92@gmail.com</v>
      </c>
      <c r="C137" s="1" t="str">
        <f>IFERROR(__xludf.DUMMYFUNCTION("""COMPUTED_VALUE"""),"Form_10")</f>
        <v>Form_10</v>
      </c>
    </row>
    <row r="138">
      <c r="B138" s="1" t="str">
        <f>IFERROR(__xludf.DUMMYFUNCTION("""COMPUTED_VALUE"""),"grunewaldtomas@gmail.com")</f>
        <v>grunewaldtomas@gmail.com</v>
      </c>
      <c r="C138" s="1" t="str">
        <f>IFERROR(__xludf.DUMMYFUNCTION("""COMPUTED_VALUE"""),"Form_10")</f>
        <v>Form_10</v>
      </c>
    </row>
    <row r="139">
      <c r="B139" s="1" t="str">
        <f>IFERROR(__xludf.DUMMYFUNCTION("""COMPUTED_VALUE"""),"manualmagro98@gmail.com")</f>
        <v>manualmagro98@gmail.com</v>
      </c>
      <c r="C139" s="1" t="str">
        <f>IFERROR(__xludf.DUMMYFUNCTION("""COMPUTED_VALUE"""),"Form_10")</f>
        <v>Form_10</v>
      </c>
    </row>
    <row r="140">
      <c r="B140" s="1" t="str">
        <f>IFERROR(__xludf.DUMMYFUNCTION("""COMPUTED_VALUE"""),"")</f>
        <v/>
      </c>
      <c r="C140" s="1" t="str">
        <f>IFERROR(__xludf.DUMMYFUNCTION("""COMPUTED_VALUE"""),"""Form_11""()")</f>
        <v>"Form_11"()</v>
      </c>
    </row>
    <row r="141">
      <c r="B141" s="1" t="str">
        <f>IFERROR(__xludf.DUMMYFUNCTION("""COMPUTED_VALUE"""),"carikrp@proton.me")</f>
        <v>carikrp@proton.me</v>
      </c>
      <c r="C141" s="1" t="str">
        <f>IFERROR(__xludf.DUMMYFUNCTION("""COMPUTED_VALUE"""),"Form_11")</f>
        <v>Form_11</v>
      </c>
    </row>
    <row r="142">
      <c r="B142" s="1" t="str">
        <f>IFERROR(__xludf.DUMMYFUNCTION("""COMPUTED_VALUE"""),"jeanmanzano@gmail.com")</f>
        <v>jeanmanzano@gmail.com</v>
      </c>
      <c r="C142" s="1" t="str">
        <f>IFERROR(__xludf.DUMMYFUNCTION("""COMPUTED_VALUE"""),"Form_11")</f>
        <v>Form_11</v>
      </c>
    </row>
    <row r="143">
      <c r="B143" s="1" t="str">
        <f>IFERROR(__xludf.DUMMYFUNCTION("""COMPUTED_VALUE"""),"monicatilotti@gmail.com ")</f>
        <v>monicatilotti@gmail.com </v>
      </c>
      <c r="C143" s="1" t="str">
        <f>IFERROR(__xludf.DUMMYFUNCTION("""COMPUTED_VALUE"""),"Form_11")</f>
        <v>Form_11</v>
      </c>
    </row>
    <row r="144">
      <c r="B144" s="1" t="str">
        <f>IFERROR(__xludf.DUMMYFUNCTION("""COMPUTED_VALUE"""),"estefaniamaggiolo@gmail.com")</f>
        <v>estefaniamaggiolo@gmail.com</v>
      </c>
      <c r="C144" s="1" t="str">
        <f>IFERROR(__xludf.DUMMYFUNCTION("""COMPUTED_VALUE"""),"Form_11")</f>
        <v>Form_11</v>
      </c>
    </row>
    <row r="145">
      <c r="B145" s="1" t="str">
        <f>IFERROR(__xludf.DUMMYFUNCTION("""COMPUTED_VALUE"""),"ikerfernandez01@gmail.com")</f>
        <v>ikerfernandez01@gmail.com</v>
      </c>
      <c r="C145" s="1" t="str">
        <f>IFERROR(__xludf.DUMMYFUNCTION("""COMPUTED_VALUE"""),"Form_11")</f>
        <v>Form_11</v>
      </c>
    </row>
    <row r="146">
      <c r="B146" s="1" t="str">
        <f>IFERROR(__xludf.DUMMYFUNCTION("""COMPUTED_VALUE"""),"adrigonzalez6595@gmail.com")</f>
        <v>adrigonzalez6595@gmail.com</v>
      </c>
      <c r="C146" s="1" t="str">
        <f>IFERROR(__xludf.DUMMYFUNCTION("""COMPUTED_VALUE"""),"Form_11")</f>
        <v>Form_11</v>
      </c>
    </row>
    <row r="147">
      <c r="B147" s="1" t="str">
        <f>IFERROR(__xludf.DUMMYFUNCTION("""COMPUTED_VALUE"""),"gabischimpf@gmail.com")</f>
        <v>gabischimpf@gmail.com</v>
      </c>
      <c r="C147" s="1" t="str">
        <f>IFERROR(__xludf.DUMMYFUNCTION("""COMPUTED_VALUE"""),"Form_11")</f>
        <v>Form_11</v>
      </c>
    </row>
    <row r="148">
      <c r="B148" s="1" t="str">
        <f>IFERROR(__xludf.DUMMYFUNCTION("""COMPUTED_VALUE"""),"Schumachermariela@gmail.com")</f>
        <v>Schumachermariela@gmail.com</v>
      </c>
      <c r="C148" s="1" t="str">
        <f>IFERROR(__xludf.DUMMYFUNCTION("""COMPUTED_VALUE"""),"Form_11")</f>
        <v>Form_11</v>
      </c>
    </row>
    <row r="149">
      <c r="B149" s="1" t="str">
        <f>IFERROR(__xludf.DUMMYFUNCTION("""COMPUTED_VALUE"""),"german.adaro@gmail.com")</f>
        <v>german.adaro@gmail.com</v>
      </c>
      <c r="C149" s="1" t="str">
        <f>IFERROR(__xludf.DUMMYFUNCTION("""COMPUTED_VALUE"""),"Form_11")</f>
        <v>Form_11</v>
      </c>
    </row>
    <row r="150">
      <c r="B150" s="1" t="str">
        <f>IFERROR(__xludf.DUMMYFUNCTION("""COMPUTED_VALUE"""),"juancruzdemendonca@gmail.com")</f>
        <v>juancruzdemendonca@gmail.com</v>
      </c>
      <c r="C150" s="1" t="str">
        <f>IFERROR(__xludf.DUMMYFUNCTION("""COMPUTED_VALUE"""),"Form_11")</f>
        <v>Form_11</v>
      </c>
    </row>
    <row r="151">
      <c r="B151" s="1" t="str">
        <f>IFERROR(__xludf.DUMMYFUNCTION("""COMPUTED_VALUE"""),"estiempodelte@gmail.com")</f>
        <v>estiempodelte@gmail.com</v>
      </c>
      <c r="C151" s="1" t="str">
        <f>IFERROR(__xludf.DUMMYFUNCTION("""COMPUTED_VALUE"""),"Form_11")</f>
        <v>Form_11</v>
      </c>
    </row>
    <row r="152">
      <c r="B152" s="1" t="str">
        <f>IFERROR(__xludf.DUMMYFUNCTION("""COMPUTED_VALUE"""),"vicsaladiaz@gmail.com")</f>
        <v>vicsaladiaz@gmail.com</v>
      </c>
      <c r="C152" s="1" t="str">
        <f>IFERROR(__xludf.DUMMYFUNCTION("""COMPUTED_VALUE"""),"Form_11")</f>
        <v>Form_11</v>
      </c>
    </row>
    <row r="153">
      <c r="B153" s="1" t="str">
        <f>IFERROR(__xludf.DUMMYFUNCTION("""COMPUTED_VALUE"""),"isadonnini9@gmail.com")</f>
        <v>isadonnini9@gmail.com</v>
      </c>
      <c r="C153" s="1" t="str">
        <f>IFERROR(__xludf.DUMMYFUNCTION("""COMPUTED_VALUE"""),"Form_11")</f>
        <v>Form_11</v>
      </c>
    </row>
    <row r="154">
      <c r="B154" s="1" t="str">
        <f>IFERROR(__xludf.DUMMYFUNCTION("""COMPUTED_VALUE"""),"ayelenespie@gmail.com")</f>
        <v>ayelenespie@gmail.com</v>
      </c>
      <c r="C154" s="1" t="str">
        <f>IFERROR(__xludf.DUMMYFUNCTION("""COMPUTED_VALUE"""),"Form_11")</f>
        <v>Form_11</v>
      </c>
    </row>
    <row r="155">
      <c r="B155" s="1" t="str">
        <f>IFERROR(__xludf.DUMMYFUNCTION("""COMPUTED_VALUE"""),"Agustinamancilla_@hotmail.com")</f>
        <v>Agustinamancilla_@hotmail.com</v>
      </c>
      <c r="C155" s="1" t="str">
        <f>IFERROR(__xludf.DUMMYFUNCTION("""COMPUTED_VALUE"""),"Form_11")</f>
        <v>Form_11</v>
      </c>
    </row>
    <row r="156">
      <c r="B156" s="1" t="str">
        <f>IFERROR(__xludf.DUMMYFUNCTION("""COMPUTED_VALUE"""),"agustinochoa17@gmail.com")</f>
        <v>agustinochoa17@gmail.com</v>
      </c>
      <c r="C156" s="1" t="str">
        <f>IFERROR(__xludf.DUMMYFUNCTION("""COMPUTED_VALUE"""),"Form_11")</f>
        <v>Form_11</v>
      </c>
    </row>
    <row r="157">
      <c r="B157" s="1" t="str">
        <f>IFERROR(__xludf.DUMMYFUNCTION("""COMPUTED_VALUE"""),"gastoniacoponi@gmail.com")</f>
        <v>gastoniacoponi@gmail.com</v>
      </c>
      <c r="C157" s="1" t="str">
        <f>IFERROR(__xludf.DUMMYFUNCTION("""COMPUTED_VALUE"""),"Form_11")</f>
        <v>Form_11</v>
      </c>
    </row>
    <row r="158">
      <c r="B158" s="1" t="str">
        <f>IFERROR(__xludf.DUMMYFUNCTION("""COMPUTED_VALUE"""),"abrilbohnarteaga@gmail.com")</f>
        <v>abrilbohnarteaga@gmail.com</v>
      </c>
      <c r="C158" s="1" t="str">
        <f>IFERROR(__xludf.DUMMYFUNCTION("""COMPUTED_VALUE"""),"Form_11")</f>
        <v>Form_11</v>
      </c>
    </row>
    <row r="159">
      <c r="B159" s="1" t="str">
        <f>IFERROR(__xludf.DUMMYFUNCTION("""COMPUTED_VALUE"""),"")</f>
        <v/>
      </c>
      <c r="C159" s="1" t="str">
        <f>IFERROR(__xludf.DUMMYFUNCTION("""COMPUTED_VALUE"""),"""Form_12""()")</f>
        <v>"Form_12"()</v>
      </c>
    </row>
    <row r="160">
      <c r="B160" s="1" t="str">
        <f>IFERROR(__xludf.DUMMYFUNCTION("""COMPUTED_VALUE"""),"catadumrauf00@gmail.com")</f>
        <v>catadumrauf00@gmail.com</v>
      </c>
      <c r="C160" s="1" t="str">
        <f>IFERROR(__xludf.DUMMYFUNCTION("""COMPUTED_VALUE"""),"Form_12")</f>
        <v>Form_12</v>
      </c>
    </row>
    <row r="161">
      <c r="B161" s="1" t="str">
        <f>IFERROR(__xludf.DUMMYFUNCTION("""COMPUTED_VALUE"""),"lucianoariasangalupe@gmail.com")</f>
        <v>lucianoariasangalupe@gmail.com</v>
      </c>
      <c r="C161" s="1" t="str">
        <f>IFERROR(__xludf.DUMMYFUNCTION("""COMPUTED_VALUE"""),"Form_12")</f>
        <v>Form_12</v>
      </c>
    </row>
    <row r="162">
      <c r="B162" s="1" t="str">
        <f>IFERROR(__xludf.DUMMYFUNCTION("""COMPUTED_VALUE"""),"katianoelschmidt@gmail.com")</f>
        <v>katianoelschmidt@gmail.com</v>
      </c>
      <c r="C162" s="1" t="str">
        <f>IFERROR(__xludf.DUMMYFUNCTION("""COMPUTED_VALUE"""),"Form_12")</f>
        <v>Form_12</v>
      </c>
    </row>
    <row r="163">
      <c r="B163" s="1" t="str">
        <f>IFERROR(__xludf.DUMMYFUNCTION("""COMPUTED_VALUE"""),"melissabanegas97@gmail.com")</f>
        <v>melissabanegas97@gmail.com</v>
      </c>
      <c r="C163" s="1" t="str">
        <f>IFERROR(__xludf.DUMMYFUNCTION("""COMPUTED_VALUE"""),"Form_12")</f>
        <v>Form_12</v>
      </c>
    </row>
    <row r="164">
      <c r="B164" s="1" t="str">
        <f>IFERROR(__xludf.DUMMYFUNCTION("""COMPUTED_VALUE"""),"dienzgo97@gmail.com")</f>
        <v>dienzgo97@gmail.com</v>
      </c>
      <c r="C164" s="1" t="str">
        <f>IFERROR(__xludf.DUMMYFUNCTION("""COMPUTED_VALUE"""),"Form_12")</f>
        <v>Form_12</v>
      </c>
    </row>
    <row r="165">
      <c r="B165" s="1" t="str">
        <f>IFERROR(__xludf.DUMMYFUNCTION("""COMPUTED_VALUE"""),"mateoesmoli2000@protonmail.com")</f>
        <v>mateoesmoli2000@protonmail.com</v>
      </c>
      <c r="C165" s="1" t="str">
        <f>IFERROR(__xludf.DUMMYFUNCTION("""COMPUTED_VALUE"""),"Form_12")</f>
        <v>Form_12</v>
      </c>
    </row>
    <row r="166">
      <c r="B166" s="1" t="str">
        <f>IFERROR(__xludf.DUMMYFUNCTION("""COMPUTED_VALUE"""),"luvgelena@gmail.com")</f>
        <v>luvgelena@gmail.com</v>
      </c>
      <c r="C166" s="1" t="str">
        <f>IFERROR(__xludf.DUMMYFUNCTION("""COMPUTED_VALUE"""),"Form_12")</f>
        <v>Form_12</v>
      </c>
    </row>
    <row r="167">
      <c r="B167" s="1" t="str">
        <f>IFERROR(__xludf.DUMMYFUNCTION("""COMPUTED_VALUE"""),"reteguii2000@gmail.com")</f>
        <v>reteguii2000@gmail.com</v>
      </c>
      <c r="C167" s="1" t="str">
        <f>IFERROR(__xludf.DUMMYFUNCTION("""COMPUTED_VALUE"""),"Form_12")</f>
        <v>Form_12</v>
      </c>
    </row>
    <row r="168">
      <c r="B168" s="1" t="str">
        <f>IFERROR(__xludf.DUMMYFUNCTION("""COMPUTED_VALUE"""),"mauro.grizia@proton.me")</f>
        <v>mauro.grizia@proton.me</v>
      </c>
      <c r="C168" s="1" t="str">
        <f>IFERROR(__xludf.DUMMYFUNCTION("""COMPUTED_VALUE"""),"Form_12")</f>
        <v>Form_12</v>
      </c>
    </row>
    <row r="169">
      <c r="B169" s="1" t="str">
        <f>IFERROR(__xludf.DUMMYFUNCTION("""COMPUTED_VALUE"""),"cuellofidela@gmail.com")</f>
        <v>cuellofidela@gmail.com</v>
      </c>
      <c r="C169" s="1" t="str">
        <f>IFERROR(__xludf.DUMMYFUNCTION("""COMPUTED_VALUE"""),"Form_12")</f>
        <v>Form_12</v>
      </c>
    </row>
    <row r="170">
      <c r="B170" s="1" t="str">
        <f>IFERROR(__xludf.DUMMYFUNCTION("""COMPUTED_VALUE"""),"celinavictoria1@gmail.com")</f>
        <v>celinavictoria1@gmail.com</v>
      </c>
      <c r="C170" s="1" t="str">
        <f>IFERROR(__xludf.DUMMYFUNCTION("""COMPUTED_VALUE"""),"Form_12")</f>
        <v>Form_12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7.13"/>
    <col customWidth="1" min="6" max="48" width="37.63"/>
    <col customWidth="1" min="49" max="49" width="31.5"/>
    <col customWidth="1" min="50" max="53" width="37.63"/>
    <col customWidth="1" min="54" max="54" width="18.88"/>
    <col customWidth="1" min="55" max="56" width="37.63"/>
    <col customWidth="1" min="57" max="63"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ht="22.5" customHeight="1">
      <c r="A2" s="4">
        <v>46020.59012976852</v>
      </c>
      <c r="B2" s="5" t="s">
        <v>57</v>
      </c>
      <c r="C2" s="5" t="s">
        <v>58</v>
      </c>
      <c r="D2" s="5" t="s">
        <v>58</v>
      </c>
      <c r="E2" s="5" t="s">
        <v>59</v>
      </c>
      <c r="F2" s="5" t="s">
        <v>60</v>
      </c>
      <c r="G2" s="5" t="s">
        <v>61</v>
      </c>
      <c r="H2" s="5" t="s">
        <v>60</v>
      </c>
      <c r="I2" s="5" t="s">
        <v>60</v>
      </c>
      <c r="J2" s="5" t="s">
        <v>62</v>
      </c>
      <c r="K2" s="5" t="s">
        <v>63</v>
      </c>
      <c r="L2" s="5" t="s">
        <v>64</v>
      </c>
      <c r="M2" s="5" t="s">
        <v>65</v>
      </c>
      <c r="N2" s="5" t="s">
        <v>58</v>
      </c>
      <c r="O2" s="5" t="s">
        <v>58</v>
      </c>
      <c r="P2" s="5" t="s">
        <v>66</v>
      </c>
      <c r="Q2" s="5" t="s">
        <v>58</v>
      </c>
      <c r="R2" s="5" t="s">
        <v>58</v>
      </c>
      <c r="S2" s="5" t="s">
        <v>58</v>
      </c>
      <c r="T2" s="5" t="s">
        <v>58</v>
      </c>
      <c r="U2" s="5" t="s">
        <v>58</v>
      </c>
      <c r="V2" s="5" t="s">
        <v>58</v>
      </c>
      <c r="W2" s="5" t="s">
        <v>67</v>
      </c>
      <c r="X2" s="5" t="s">
        <v>58</v>
      </c>
      <c r="Y2" s="5" t="s">
        <v>67</v>
      </c>
      <c r="Z2" s="5" t="s">
        <v>66</v>
      </c>
      <c r="AA2" s="5" t="s">
        <v>58</v>
      </c>
      <c r="AB2" s="5" t="s">
        <v>58</v>
      </c>
      <c r="AC2" s="5" t="s">
        <v>67</v>
      </c>
      <c r="AD2" s="5" t="s">
        <v>58</v>
      </c>
      <c r="AE2" s="5" t="s">
        <v>67</v>
      </c>
      <c r="AF2" s="5" t="s">
        <v>58</v>
      </c>
      <c r="AG2" s="5" t="s">
        <v>67</v>
      </c>
      <c r="AH2" s="5" t="s">
        <v>66</v>
      </c>
      <c r="AI2" s="5" t="s">
        <v>68</v>
      </c>
      <c r="AJ2" s="5" t="s">
        <v>69</v>
      </c>
      <c r="AK2" s="5" t="s">
        <v>69</v>
      </c>
      <c r="AL2" s="5">
        <v>4.0</v>
      </c>
      <c r="AM2" s="5">
        <v>5.0</v>
      </c>
      <c r="AN2" s="5">
        <v>3.0</v>
      </c>
      <c r="AO2" s="5">
        <v>2.0</v>
      </c>
      <c r="AP2" s="5">
        <v>5.0</v>
      </c>
      <c r="AQ2" s="5">
        <v>3.0</v>
      </c>
      <c r="AR2" s="5">
        <v>3.0</v>
      </c>
      <c r="AS2" s="5">
        <v>3.0</v>
      </c>
      <c r="AT2" s="5">
        <v>1.0</v>
      </c>
      <c r="AU2" s="5">
        <v>4.0</v>
      </c>
      <c r="AV2" s="5">
        <v>4.0</v>
      </c>
      <c r="AW2" s="5">
        <v>5.0</v>
      </c>
      <c r="AX2" s="5">
        <v>1.0</v>
      </c>
      <c r="AY2" s="5">
        <v>5.0</v>
      </c>
      <c r="AZ2" s="5">
        <v>1.0</v>
      </c>
      <c r="BA2" s="5">
        <v>5.0</v>
      </c>
      <c r="BB2" s="5" t="s">
        <v>70</v>
      </c>
      <c r="BC2" s="5">
        <v>3.0</v>
      </c>
      <c r="BD2" s="5">
        <v>7.0</v>
      </c>
      <c r="BE2" s="5" t="s">
        <v>71</v>
      </c>
    </row>
    <row r="3" ht="22.5" customHeight="1">
      <c r="A3" s="4">
        <v>46020.656372847225</v>
      </c>
      <c r="B3" s="5" t="s">
        <v>57</v>
      </c>
      <c r="C3" s="5" t="s">
        <v>58</v>
      </c>
      <c r="D3" s="5" t="s">
        <v>58</v>
      </c>
      <c r="E3" s="5" t="s">
        <v>59</v>
      </c>
      <c r="F3" s="5" t="s">
        <v>60</v>
      </c>
      <c r="G3" s="5" t="s">
        <v>61</v>
      </c>
      <c r="H3" s="5" t="s">
        <v>60</v>
      </c>
      <c r="I3" s="5" t="s">
        <v>60</v>
      </c>
      <c r="J3" s="5" t="s">
        <v>62</v>
      </c>
      <c r="K3" s="5" t="s">
        <v>63</v>
      </c>
      <c r="L3" s="5" t="s">
        <v>64</v>
      </c>
      <c r="M3" s="5" t="s">
        <v>65</v>
      </c>
      <c r="N3" s="5" t="s">
        <v>67</v>
      </c>
      <c r="O3" s="5" t="s">
        <v>58</v>
      </c>
      <c r="P3" s="5" t="s">
        <v>66</v>
      </c>
      <c r="Q3" s="5" t="s">
        <v>67</v>
      </c>
      <c r="R3" s="5" t="s">
        <v>58</v>
      </c>
      <c r="S3" s="5" t="s">
        <v>58</v>
      </c>
      <c r="T3" s="5" t="s">
        <v>58</v>
      </c>
      <c r="U3" s="5" t="s">
        <v>67</v>
      </c>
      <c r="V3" s="5" t="s">
        <v>67</v>
      </c>
      <c r="W3" s="5" t="s">
        <v>67</v>
      </c>
      <c r="X3" s="5" t="s">
        <v>58</v>
      </c>
      <c r="Y3" s="5" t="s">
        <v>67</v>
      </c>
      <c r="Z3" s="5" t="s">
        <v>66</v>
      </c>
      <c r="AA3" s="5" t="s">
        <v>58</v>
      </c>
      <c r="AB3" s="5" t="s">
        <v>67</v>
      </c>
      <c r="AC3" s="5" t="s">
        <v>67</v>
      </c>
      <c r="AD3" s="5" t="s">
        <v>67</v>
      </c>
      <c r="AE3" s="5" t="s">
        <v>58</v>
      </c>
      <c r="AF3" s="5" t="s">
        <v>58</v>
      </c>
      <c r="AG3" s="5" t="s">
        <v>58</v>
      </c>
      <c r="AH3" s="5" t="s">
        <v>66</v>
      </c>
      <c r="AI3" s="5" t="s">
        <v>72</v>
      </c>
      <c r="AJ3" s="5" t="s">
        <v>69</v>
      </c>
      <c r="AK3" s="5" t="s">
        <v>73</v>
      </c>
      <c r="AL3" s="5">
        <v>2.0</v>
      </c>
      <c r="AM3" s="5">
        <v>4.0</v>
      </c>
      <c r="AN3" s="5">
        <v>1.0</v>
      </c>
      <c r="AO3" s="5">
        <v>3.0</v>
      </c>
      <c r="AP3" s="5">
        <v>4.0</v>
      </c>
      <c r="AQ3" s="5">
        <v>2.0</v>
      </c>
      <c r="AR3" s="5">
        <v>1.0</v>
      </c>
      <c r="AS3" s="5">
        <v>4.0</v>
      </c>
      <c r="AT3" s="5">
        <v>1.0</v>
      </c>
      <c r="AU3" s="5">
        <v>5.0</v>
      </c>
      <c r="AV3" s="5">
        <v>2.0</v>
      </c>
      <c r="AW3" s="5">
        <v>4.0</v>
      </c>
      <c r="AX3" s="5">
        <v>2.0</v>
      </c>
      <c r="AY3" s="5">
        <v>5.0</v>
      </c>
      <c r="AZ3" s="5">
        <v>3.0</v>
      </c>
      <c r="BA3" s="5">
        <v>3.0</v>
      </c>
      <c r="BB3" s="5" t="s">
        <v>74</v>
      </c>
      <c r="BC3" s="5">
        <v>1.0</v>
      </c>
      <c r="BD3" s="5">
        <v>5.0</v>
      </c>
      <c r="BE3" s="5" t="s">
        <v>75</v>
      </c>
    </row>
    <row r="4" ht="22.5" customHeight="1">
      <c r="A4" s="4">
        <v>46020.697180891206</v>
      </c>
      <c r="B4" s="5" t="s">
        <v>57</v>
      </c>
      <c r="C4" s="5" t="s">
        <v>58</v>
      </c>
      <c r="D4" s="5" t="s">
        <v>58</v>
      </c>
      <c r="E4" s="5" t="s">
        <v>59</v>
      </c>
      <c r="F4" s="5" t="s">
        <v>60</v>
      </c>
      <c r="G4" s="5" t="s">
        <v>61</v>
      </c>
      <c r="H4" s="5" t="s">
        <v>60</v>
      </c>
      <c r="I4" s="5" t="s">
        <v>60</v>
      </c>
      <c r="J4" s="5" t="s">
        <v>62</v>
      </c>
      <c r="K4" s="5" t="s">
        <v>63</v>
      </c>
      <c r="L4" s="5" t="s">
        <v>64</v>
      </c>
      <c r="M4" s="5" t="s">
        <v>65</v>
      </c>
      <c r="N4" s="5" t="s">
        <v>58</v>
      </c>
      <c r="O4" s="5" t="s">
        <v>58</v>
      </c>
      <c r="P4" s="5" t="s">
        <v>67</v>
      </c>
      <c r="Q4" s="5" t="s">
        <v>58</v>
      </c>
      <c r="R4" s="5" t="s">
        <v>58</v>
      </c>
      <c r="S4" s="5" t="s">
        <v>58</v>
      </c>
      <c r="T4" s="5" t="s">
        <v>58</v>
      </c>
      <c r="U4" s="5" t="s">
        <v>58</v>
      </c>
      <c r="V4" s="5" t="s">
        <v>58</v>
      </c>
      <c r="W4" s="5" t="s">
        <v>58</v>
      </c>
      <c r="X4" s="5" t="s">
        <v>58</v>
      </c>
      <c r="Y4" s="5" t="s">
        <v>67</v>
      </c>
      <c r="Z4" s="5" t="s">
        <v>66</v>
      </c>
      <c r="AA4" s="5" t="s">
        <v>58</v>
      </c>
      <c r="AB4" s="5" t="s">
        <v>58</v>
      </c>
      <c r="AC4" s="5" t="s">
        <v>67</v>
      </c>
      <c r="AD4" s="5" t="s">
        <v>58</v>
      </c>
      <c r="AE4" s="5" t="s">
        <v>58</v>
      </c>
      <c r="AF4" s="5" t="s">
        <v>58</v>
      </c>
      <c r="AG4" s="5" t="s">
        <v>58</v>
      </c>
      <c r="AH4" s="5" t="s">
        <v>66</v>
      </c>
      <c r="AI4" s="5" t="s">
        <v>68</v>
      </c>
      <c r="AJ4" s="5" t="s">
        <v>68</v>
      </c>
      <c r="AK4" s="5" t="s">
        <v>68</v>
      </c>
      <c r="AL4" s="5">
        <v>1.0</v>
      </c>
      <c r="AM4" s="5">
        <v>5.0</v>
      </c>
      <c r="AN4" s="5">
        <v>2.0</v>
      </c>
      <c r="AO4" s="5">
        <v>3.0</v>
      </c>
      <c r="AP4" s="5">
        <v>4.0</v>
      </c>
      <c r="AQ4" s="5">
        <v>3.0</v>
      </c>
      <c r="AR4" s="5">
        <v>2.0</v>
      </c>
      <c r="AS4" s="5">
        <v>5.0</v>
      </c>
      <c r="AT4" s="5">
        <v>1.0</v>
      </c>
      <c r="AU4" s="5">
        <v>5.0</v>
      </c>
      <c r="AV4" s="5">
        <v>1.0</v>
      </c>
      <c r="AW4" s="5">
        <v>5.0</v>
      </c>
      <c r="AX4" s="5">
        <v>1.0</v>
      </c>
      <c r="AY4" s="5">
        <v>5.0</v>
      </c>
      <c r="AZ4" s="5">
        <v>1.0</v>
      </c>
      <c r="BA4" s="5">
        <v>5.0</v>
      </c>
      <c r="BB4" s="5" t="s">
        <v>70</v>
      </c>
      <c r="BC4" s="5">
        <v>1.0</v>
      </c>
      <c r="BD4" s="5">
        <v>4.0</v>
      </c>
      <c r="BE4" s="5" t="s">
        <v>76</v>
      </c>
    </row>
    <row r="5" ht="22.5" customHeight="1">
      <c r="A5" s="4">
        <v>46020.932796203706</v>
      </c>
      <c r="B5" s="5" t="s">
        <v>57</v>
      </c>
      <c r="C5" s="5" t="s">
        <v>58</v>
      </c>
      <c r="D5" s="5" t="s">
        <v>58</v>
      </c>
      <c r="E5" s="5" t="s">
        <v>59</v>
      </c>
      <c r="F5" s="5" t="s">
        <v>60</v>
      </c>
      <c r="G5" s="5" t="s">
        <v>61</v>
      </c>
      <c r="H5" s="5" t="s">
        <v>60</v>
      </c>
      <c r="I5" s="5" t="s">
        <v>60</v>
      </c>
      <c r="J5" s="5" t="s">
        <v>62</v>
      </c>
      <c r="K5" s="5" t="s">
        <v>63</v>
      </c>
      <c r="L5" s="5" t="s">
        <v>64</v>
      </c>
      <c r="M5" s="5" t="s">
        <v>65</v>
      </c>
      <c r="N5" s="5" t="s">
        <v>67</v>
      </c>
      <c r="O5" s="5" t="s">
        <v>58</v>
      </c>
      <c r="P5" s="5" t="s">
        <v>66</v>
      </c>
      <c r="Q5" s="5" t="s">
        <v>58</v>
      </c>
      <c r="R5" s="5" t="s">
        <v>58</v>
      </c>
      <c r="S5" s="5" t="s">
        <v>67</v>
      </c>
      <c r="T5" s="5" t="s">
        <v>58</v>
      </c>
      <c r="U5" s="5" t="s">
        <v>58</v>
      </c>
      <c r="V5" s="5" t="s">
        <v>58</v>
      </c>
      <c r="W5" s="5" t="s">
        <v>67</v>
      </c>
      <c r="X5" s="5" t="s">
        <v>58</v>
      </c>
      <c r="Y5" s="5" t="s">
        <v>58</v>
      </c>
      <c r="Z5" s="5" t="s">
        <v>66</v>
      </c>
      <c r="AA5" s="5" t="s">
        <v>67</v>
      </c>
      <c r="AB5" s="5" t="s">
        <v>67</v>
      </c>
      <c r="AC5" s="5" t="s">
        <v>58</v>
      </c>
      <c r="AD5" s="5" t="s">
        <v>67</v>
      </c>
      <c r="AE5" s="5" t="s">
        <v>58</v>
      </c>
      <c r="AF5" s="5" t="s">
        <v>58</v>
      </c>
      <c r="AG5" s="5" t="s">
        <v>67</v>
      </c>
      <c r="AH5" s="5" t="s">
        <v>66</v>
      </c>
      <c r="AI5" s="5" t="s">
        <v>77</v>
      </c>
      <c r="AJ5" s="5" t="s">
        <v>68</v>
      </c>
      <c r="AK5" s="5" t="s">
        <v>68</v>
      </c>
      <c r="AL5" s="5">
        <v>3.0</v>
      </c>
      <c r="AM5" s="5">
        <v>2.0</v>
      </c>
      <c r="AN5" s="5">
        <v>2.0</v>
      </c>
      <c r="AO5" s="5">
        <v>2.0</v>
      </c>
      <c r="AP5" s="5">
        <v>4.0</v>
      </c>
      <c r="AQ5" s="5">
        <v>5.0</v>
      </c>
      <c r="AR5" s="5">
        <v>3.0</v>
      </c>
      <c r="AS5" s="5">
        <v>5.0</v>
      </c>
      <c r="AT5" s="5">
        <v>1.0</v>
      </c>
      <c r="AU5" s="5">
        <v>3.0</v>
      </c>
      <c r="AV5" s="5">
        <v>2.0</v>
      </c>
      <c r="AW5" s="5">
        <v>3.0</v>
      </c>
      <c r="AX5" s="5">
        <v>1.0</v>
      </c>
      <c r="AY5" s="5">
        <v>5.0</v>
      </c>
      <c r="AZ5" s="5">
        <v>1.0</v>
      </c>
      <c r="BA5" s="5">
        <v>5.0</v>
      </c>
      <c r="BB5" s="5" t="s">
        <v>70</v>
      </c>
      <c r="BC5" s="5">
        <v>4.0</v>
      </c>
      <c r="BD5" s="5">
        <v>4.0</v>
      </c>
      <c r="BE5" s="5" t="s">
        <v>78</v>
      </c>
    </row>
    <row r="6" ht="22.5" customHeight="1">
      <c r="A6" s="4">
        <v>46021.630896145834</v>
      </c>
      <c r="B6" s="5" t="s">
        <v>57</v>
      </c>
      <c r="C6" s="5" t="s">
        <v>58</v>
      </c>
      <c r="D6" s="5" t="s">
        <v>58</v>
      </c>
      <c r="E6" s="5" t="s">
        <v>59</v>
      </c>
      <c r="F6" s="5" t="s">
        <v>60</v>
      </c>
      <c r="G6" s="5" t="s">
        <v>61</v>
      </c>
      <c r="H6" s="5" t="s">
        <v>60</v>
      </c>
      <c r="I6" s="5" t="s">
        <v>60</v>
      </c>
      <c r="J6" s="5" t="s">
        <v>62</v>
      </c>
      <c r="K6" s="5" t="s">
        <v>63</v>
      </c>
      <c r="L6" s="5" t="s">
        <v>64</v>
      </c>
      <c r="M6" s="5" t="s">
        <v>65</v>
      </c>
      <c r="N6" s="5" t="s">
        <v>58</v>
      </c>
      <c r="O6" s="5" t="s">
        <v>67</v>
      </c>
      <c r="P6" s="5" t="s">
        <v>66</v>
      </c>
      <c r="Q6" s="5" t="s">
        <v>58</v>
      </c>
      <c r="R6" s="5" t="s">
        <v>58</v>
      </c>
      <c r="S6" s="5" t="s">
        <v>58</v>
      </c>
      <c r="T6" s="5" t="s">
        <v>58</v>
      </c>
      <c r="U6" s="5" t="s">
        <v>58</v>
      </c>
      <c r="V6" s="5" t="s">
        <v>67</v>
      </c>
      <c r="W6" s="5" t="s">
        <v>58</v>
      </c>
      <c r="X6" s="5" t="s">
        <v>58</v>
      </c>
      <c r="Y6" s="5" t="s">
        <v>67</v>
      </c>
      <c r="Z6" s="5" t="s">
        <v>66</v>
      </c>
      <c r="AA6" s="5" t="s">
        <v>58</v>
      </c>
      <c r="AB6" s="5" t="s">
        <v>58</v>
      </c>
      <c r="AC6" s="5" t="s">
        <v>67</v>
      </c>
      <c r="AD6" s="5" t="s">
        <v>58</v>
      </c>
      <c r="AE6" s="5" t="s">
        <v>58</v>
      </c>
      <c r="AF6" s="5" t="s">
        <v>67</v>
      </c>
      <c r="AG6" s="5" t="s">
        <v>58</v>
      </c>
      <c r="AH6" s="5" t="s">
        <v>66</v>
      </c>
      <c r="AI6" s="5" t="s">
        <v>72</v>
      </c>
      <c r="AJ6" s="5" t="s">
        <v>69</v>
      </c>
      <c r="AK6" s="5" t="s">
        <v>69</v>
      </c>
      <c r="AL6" s="5">
        <v>4.0</v>
      </c>
      <c r="AM6" s="5">
        <v>3.0</v>
      </c>
      <c r="AN6" s="5">
        <v>1.0</v>
      </c>
      <c r="AO6" s="5">
        <v>1.0</v>
      </c>
      <c r="AP6" s="5">
        <v>4.0</v>
      </c>
      <c r="AQ6" s="5">
        <v>5.0</v>
      </c>
      <c r="AR6" s="5">
        <v>5.0</v>
      </c>
      <c r="AS6" s="5">
        <v>5.0</v>
      </c>
      <c r="AT6" s="5">
        <v>1.0</v>
      </c>
      <c r="AU6" s="5">
        <v>5.0</v>
      </c>
      <c r="AV6" s="5">
        <v>1.0</v>
      </c>
      <c r="AW6" s="5">
        <v>5.0</v>
      </c>
      <c r="AX6" s="5">
        <v>3.0</v>
      </c>
      <c r="AY6" s="5">
        <v>5.0</v>
      </c>
      <c r="AZ6" s="5">
        <v>1.0</v>
      </c>
      <c r="BA6" s="5">
        <v>5.0</v>
      </c>
      <c r="BB6" s="5" t="s">
        <v>74</v>
      </c>
      <c r="BC6" s="5">
        <v>4.0</v>
      </c>
      <c r="BD6" s="5">
        <v>7.0</v>
      </c>
      <c r="BE6" s="5" t="s">
        <v>79</v>
      </c>
    </row>
    <row r="7" ht="22.5" customHeight="1">
      <c r="A7" s="6">
        <v>46022.65081842593</v>
      </c>
      <c r="B7" s="7" t="s">
        <v>57</v>
      </c>
      <c r="C7" s="7" t="s">
        <v>58</v>
      </c>
      <c r="D7" s="7" t="s">
        <v>58</v>
      </c>
      <c r="E7" s="7" t="s">
        <v>59</v>
      </c>
      <c r="F7" s="7" t="s">
        <v>60</v>
      </c>
      <c r="G7" s="7" t="s">
        <v>61</v>
      </c>
      <c r="H7" s="7" t="s">
        <v>60</v>
      </c>
      <c r="I7" s="7" t="s">
        <v>60</v>
      </c>
      <c r="J7" s="7" t="s">
        <v>62</v>
      </c>
      <c r="K7" s="7" t="s">
        <v>63</v>
      </c>
      <c r="L7" s="7" t="s">
        <v>64</v>
      </c>
      <c r="M7" s="7" t="s">
        <v>65</v>
      </c>
      <c r="N7" s="7" t="s">
        <v>58</v>
      </c>
      <c r="O7" s="7" t="s">
        <v>58</v>
      </c>
      <c r="P7" s="7" t="s">
        <v>66</v>
      </c>
      <c r="Q7" s="7" t="s">
        <v>58</v>
      </c>
      <c r="R7" s="7" t="s">
        <v>58</v>
      </c>
      <c r="S7" s="7" t="s">
        <v>67</v>
      </c>
      <c r="T7" s="7" t="s">
        <v>58</v>
      </c>
      <c r="U7" s="7" t="s">
        <v>58</v>
      </c>
      <c r="V7" s="7" t="s">
        <v>67</v>
      </c>
      <c r="W7" s="7" t="s">
        <v>58</v>
      </c>
      <c r="X7" s="7" t="s">
        <v>58</v>
      </c>
      <c r="Y7" s="7" t="s">
        <v>58</v>
      </c>
      <c r="Z7" s="7" t="s">
        <v>66</v>
      </c>
      <c r="AA7" s="7" t="s">
        <v>58</v>
      </c>
      <c r="AB7" s="7" t="s">
        <v>58</v>
      </c>
      <c r="AC7" s="7" t="s">
        <v>58</v>
      </c>
      <c r="AD7" s="7" t="s">
        <v>58</v>
      </c>
      <c r="AE7" s="7" t="s">
        <v>58</v>
      </c>
      <c r="AF7" s="7" t="s">
        <v>58</v>
      </c>
      <c r="AG7" s="7" t="s">
        <v>58</v>
      </c>
      <c r="AH7" s="7" t="s">
        <v>66</v>
      </c>
      <c r="AI7" s="7" t="s">
        <v>68</v>
      </c>
      <c r="AJ7" s="7" t="s">
        <v>69</v>
      </c>
      <c r="AK7" s="7" t="s">
        <v>69</v>
      </c>
      <c r="AL7" s="7">
        <v>4.0</v>
      </c>
      <c r="AM7" s="7">
        <v>3.0</v>
      </c>
      <c r="AN7" s="7">
        <v>2.0</v>
      </c>
      <c r="AO7" s="7">
        <v>3.0</v>
      </c>
      <c r="AP7" s="7">
        <v>5.0</v>
      </c>
      <c r="AQ7" s="7">
        <v>3.0</v>
      </c>
      <c r="AR7" s="7">
        <v>2.0</v>
      </c>
      <c r="AS7" s="7">
        <v>5.0</v>
      </c>
      <c r="AT7" s="7">
        <v>1.0</v>
      </c>
      <c r="AU7" s="7">
        <v>5.0</v>
      </c>
      <c r="AV7" s="7">
        <v>1.0</v>
      </c>
      <c r="AW7" s="7">
        <v>5.0</v>
      </c>
      <c r="AX7" s="7">
        <v>1.0</v>
      </c>
      <c r="AY7" s="7">
        <v>5.0</v>
      </c>
      <c r="AZ7" s="7">
        <v>1.0</v>
      </c>
      <c r="BA7" s="7">
        <v>5.0</v>
      </c>
      <c r="BB7" s="7" t="s">
        <v>74</v>
      </c>
      <c r="BC7" s="7">
        <v>3.0</v>
      </c>
      <c r="BD7" s="7">
        <v>4.0</v>
      </c>
      <c r="BE7" s="7" t="s">
        <v>80</v>
      </c>
    </row>
    <row r="8" ht="22.5" customHeight="1">
      <c r="A8" s="6">
        <v>46022.68771585648</v>
      </c>
      <c r="B8" s="7" t="s">
        <v>57</v>
      </c>
      <c r="C8" s="7" t="s">
        <v>58</v>
      </c>
      <c r="D8" s="7" t="s">
        <v>58</v>
      </c>
      <c r="E8" s="7" t="s">
        <v>59</v>
      </c>
      <c r="F8" s="7" t="s">
        <v>60</v>
      </c>
      <c r="G8" s="7" t="s">
        <v>61</v>
      </c>
      <c r="H8" s="7" t="s">
        <v>60</v>
      </c>
      <c r="I8" s="7" t="s">
        <v>60</v>
      </c>
      <c r="J8" s="7" t="s">
        <v>62</v>
      </c>
      <c r="K8" s="7" t="s">
        <v>63</v>
      </c>
      <c r="L8" s="7" t="s">
        <v>64</v>
      </c>
      <c r="M8" s="7" t="s">
        <v>65</v>
      </c>
      <c r="N8" s="7" t="s">
        <v>67</v>
      </c>
      <c r="O8" s="7" t="s">
        <v>67</v>
      </c>
      <c r="P8" s="7" t="s">
        <v>66</v>
      </c>
      <c r="Q8" s="7" t="s">
        <v>67</v>
      </c>
      <c r="R8" s="7" t="s">
        <v>58</v>
      </c>
      <c r="S8" s="7" t="s">
        <v>67</v>
      </c>
      <c r="T8" s="7" t="s">
        <v>67</v>
      </c>
      <c r="U8" s="7" t="s">
        <v>67</v>
      </c>
      <c r="V8" s="7" t="s">
        <v>67</v>
      </c>
      <c r="W8" s="7" t="s">
        <v>67</v>
      </c>
      <c r="X8" s="7" t="s">
        <v>67</v>
      </c>
      <c r="Y8" s="7" t="s">
        <v>67</v>
      </c>
      <c r="Z8" s="7" t="s">
        <v>66</v>
      </c>
      <c r="AA8" s="7" t="s">
        <v>67</v>
      </c>
      <c r="AB8" s="7" t="s">
        <v>67</v>
      </c>
      <c r="AC8" s="7" t="s">
        <v>67</v>
      </c>
      <c r="AD8" s="7" t="s">
        <v>67</v>
      </c>
      <c r="AE8" s="7" t="s">
        <v>67</v>
      </c>
      <c r="AF8" s="7" t="s">
        <v>67</v>
      </c>
      <c r="AG8" s="7" t="s">
        <v>67</v>
      </c>
      <c r="AH8" s="7" t="s">
        <v>66</v>
      </c>
      <c r="AI8" s="7" t="s">
        <v>72</v>
      </c>
      <c r="AJ8" s="7" t="s">
        <v>68</v>
      </c>
      <c r="AK8" s="7" t="s">
        <v>73</v>
      </c>
      <c r="AL8" s="7">
        <v>5.0</v>
      </c>
      <c r="AM8" s="7">
        <v>4.0</v>
      </c>
      <c r="AN8" s="7">
        <v>1.0</v>
      </c>
      <c r="AO8" s="7">
        <v>1.0</v>
      </c>
      <c r="AP8" s="7">
        <v>5.0</v>
      </c>
      <c r="AQ8" s="7">
        <v>5.0</v>
      </c>
      <c r="AR8" s="7">
        <v>2.0</v>
      </c>
      <c r="AS8" s="7">
        <v>5.0</v>
      </c>
      <c r="AT8" s="7">
        <v>1.0</v>
      </c>
      <c r="AU8" s="7">
        <v>5.0</v>
      </c>
      <c r="AV8" s="7">
        <v>1.0</v>
      </c>
      <c r="AW8" s="7">
        <v>5.0</v>
      </c>
      <c r="AX8" s="7">
        <v>1.0</v>
      </c>
      <c r="AY8" s="7">
        <v>5.0</v>
      </c>
      <c r="AZ8" s="7">
        <v>1.0</v>
      </c>
      <c r="BA8" s="7">
        <v>4.0</v>
      </c>
      <c r="BB8" s="7" t="s">
        <v>70</v>
      </c>
      <c r="BC8" s="7">
        <v>3.0</v>
      </c>
      <c r="BD8" s="7">
        <v>6.0</v>
      </c>
      <c r="BE8" s="7" t="s">
        <v>81</v>
      </c>
    </row>
    <row r="9" ht="22.5" customHeight="1">
      <c r="A9" s="6">
        <v>46022.71073337963</v>
      </c>
      <c r="B9" s="7" t="s">
        <v>57</v>
      </c>
      <c r="C9" s="7" t="s">
        <v>58</v>
      </c>
      <c r="D9" s="7" t="s">
        <v>58</v>
      </c>
      <c r="E9" s="7" t="s">
        <v>59</v>
      </c>
      <c r="F9" s="7" t="s">
        <v>60</v>
      </c>
      <c r="G9" s="7" t="s">
        <v>61</v>
      </c>
      <c r="H9" s="7" t="s">
        <v>60</v>
      </c>
      <c r="I9" s="7" t="s">
        <v>60</v>
      </c>
      <c r="J9" s="7" t="s">
        <v>62</v>
      </c>
      <c r="K9" s="7" t="s">
        <v>63</v>
      </c>
      <c r="L9" s="7" t="s">
        <v>64</v>
      </c>
      <c r="M9" s="7" t="s">
        <v>65</v>
      </c>
      <c r="N9" s="7" t="s">
        <v>67</v>
      </c>
      <c r="O9" s="7" t="s">
        <v>58</v>
      </c>
      <c r="P9" s="7" t="s">
        <v>66</v>
      </c>
      <c r="Q9" s="7" t="s">
        <v>67</v>
      </c>
      <c r="R9" s="7" t="s">
        <v>58</v>
      </c>
      <c r="S9" s="7" t="s">
        <v>67</v>
      </c>
      <c r="T9" s="7" t="s">
        <v>58</v>
      </c>
      <c r="U9" s="7" t="s">
        <v>58</v>
      </c>
      <c r="V9" s="7" t="s">
        <v>67</v>
      </c>
      <c r="W9" s="7" t="s">
        <v>58</v>
      </c>
      <c r="X9" s="7" t="s">
        <v>58</v>
      </c>
      <c r="Y9" s="7" t="s">
        <v>67</v>
      </c>
      <c r="Z9" s="7" t="s">
        <v>66</v>
      </c>
      <c r="AA9" s="7" t="s">
        <v>58</v>
      </c>
      <c r="AB9" s="7" t="s">
        <v>58</v>
      </c>
      <c r="AC9" s="7" t="s">
        <v>67</v>
      </c>
      <c r="AD9" s="7" t="s">
        <v>58</v>
      </c>
      <c r="AE9" s="7" t="s">
        <v>58</v>
      </c>
      <c r="AF9" s="7" t="s">
        <v>67</v>
      </c>
      <c r="AG9" s="7" t="s">
        <v>58</v>
      </c>
      <c r="AH9" s="7" t="s">
        <v>66</v>
      </c>
      <c r="AI9" s="7" t="s">
        <v>72</v>
      </c>
      <c r="AJ9" s="7" t="s">
        <v>73</v>
      </c>
      <c r="AK9" s="7" t="s">
        <v>73</v>
      </c>
      <c r="AL9" s="7">
        <v>3.0</v>
      </c>
      <c r="AM9" s="7">
        <v>3.0</v>
      </c>
      <c r="AN9" s="7">
        <v>2.0</v>
      </c>
      <c r="AO9" s="7">
        <v>2.0</v>
      </c>
      <c r="AP9" s="7">
        <v>4.0</v>
      </c>
      <c r="AQ9" s="7">
        <v>3.0</v>
      </c>
      <c r="AR9" s="7">
        <v>1.0</v>
      </c>
      <c r="AS9" s="7">
        <v>1.0</v>
      </c>
      <c r="AT9" s="7">
        <v>1.0</v>
      </c>
      <c r="AU9" s="7">
        <v>1.0</v>
      </c>
      <c r="AV9" s="7">
        <v>5.0</v>
      </c>
      <c r="AW9" s="7">
        <v>1.0</v>
      </c>
      <c r="AX9" s="7">
        <v>3.0</v>
      </c>
      <c r="AY9" s="7">
        <v>1.0</v>
      </c>
      <c r="AZ9" s="7">
        <v>3.0</v>
      </c>
      <c r="BA9" s="7">
        <v>1.0</v>
      </c>
      <c r="BB9" s="7" t="s">
        <v>74</v>
      </c>
      <c r="BC9" s="7">
        <v>6.0</v>
      </c>
      <c r="BD9" s="7">
        <v>4.0</v>
      </c>
      <c r="BE9" s="7" t="s">
        <v>82</v>
      </c>
    </row>
    <row r="10" ht="22.5" customHeight="1">
      <c r="A10" s="6">
        <v>46022.77280369213</v>
      </c>
      <c r="B10" s="7" t="s">
        <v>57</v>
      </c>
      <c r="C10" s="7" t="s">
        <v>58</v>
      </c>
      <c r="D10" s="7" t="s">
        <v>58</v>
      </c>
      <c r="E10" s="7" t="s">
        <v>59</v>
      </c>
      <c r="F10" s="7" t="s">
        <v>60</v>
      </c>
      <c r="G10" s="7" t="s">
        <v>61</v>
      </c>
      <c r="H10" s="7" t="s">
        <v>60</v>
      </c>
      <c r="I10" s="7" t="s">
        <v>60</v>
      </c>
      <c r="J10" s="7" t="s">
        <v>62</v>
      </c>
      <c r="K10" s="7" t="s">
        <v>63</v>
      </c>
      <c r="L10" s="7" t="s">
        <v>64</v>
      </c>
      <c r="M10" s="7" t="s">
        <v>65</v>
      </c>
      <c r="N10" s="7" t="s">
        <v>58</v>
      </c>
      <c r="O10" s="7" t="s">
        <v>58</v>
      </c>
      <c r="P10" s="7" t="s">
        <v>66</v>
      </c>
      <c r="Q10" s="7" t="s">
        <v>58</v>
      </c>
      <c r="R10" s="7" t="s">
        <v>58</v>
      </c>
      <c r="S10" s="7" t="s">
        <v>67</v>
      </c>
      <c r="T10" s="7" t="s">
        <v>58</v>
      </c>
      <c r="U10" s="7" t="s">
        <v>58</v>
      </c>
      <c r="V10" s="7" t="s">
        <v>58</v>
      </c>
      <c r="W10" s="7" t="s">
        <v>58</v>
      </c>
      <c r="X10" s="7" t="s">
        <v>58</v>
      </c>
      <c r="Y10" s="7" t="s">
        <v>58</v>
      </c>
      <c r="Z10" s="7" t="s">
        <v>66</v>
      </c>
      <c r="AA10" s="7" t="s">
        <v>58</v>
      </c>
      <c r="AB10" s="7" t="s">
        <v>58</v>
      </c>
      <c r="AC10" s="7" t="s">
        <v>58</v>
      </c>
      <c r="AD10" s="7" t="s">
        <v>58</v>
      </c>
      <c r="AE10" s="7" t="s">
        <v>58</v>
      </c>
      <c r="AF10" s="7" t="s">
        <v>58</v>
      </c>
      <c r="AG10" s="7" t="s">
        <v>58</v>
      </c>
      <c r="AH10" s="7" t="s">
        <v>66</v>
      </c>
      <c r="AI10" s="7" t="s">
        <v>77</v>
      </c>
      <c r="AJ10" s="7" t="s">
        <v>69</v>
      </c>
      <c r="AK10" s="7" t="s">
        <v>69</v>
      </c>
      <c r="AL10" s="7">
        <v>4.0</v>
      </c>
      <c r="AM10" s="7">
        <v>4.0</v>
      </c>
      <c r="AN10" s="7">
        <v>3.0</v>
      </c>
      <c r="AO10" s="7">
        <v>1.0</v>
      </c>
      <c r="AP10" s="7">
        <v>4.0</v>
      </c>
      <c r="AQ10" s="7">
        <v>5.0</v>
      </c>
      <c r="AR10" s="7">
        <v>2.0</v>
      </c>
      <c r="AS10" s="7">
        <v>5.0</v>
      </c>
      <c r="AT10" s="7">
        <v>1.0</v>
      </c>
      <c r="AU10" s="7">
        <v>5.0</v>
      </c>
      <c r="AV10" s="7">
        <v>1.0</v>
      </c>
      <c r="AW10" s="7">
        <v>5.0</v>
      </c>
      <c r="AX10" s="7">
        <v>2.0</v>
      </c>
      <c r="AY10" s="7">
        <v>4.0</v>
      </c>
      <c r="AZ10" s="7">
        <v>1.0</v>
      </c>
      <c r="BA10" s="7">
        <v>5.0</v>
      </c>
      <c r="BB10" s="7" t="s">
        <v>74</v>
      </c>
      <c r="BC10" s="7">
        <v>3.0</v>
      </c>
      <c r="BD10" s="7">
        <v>6.0</v>
      </c>
      <c r="BE10" s="7" t="s">
        <v>83</v>
      </c>
    </row>
    <row r="11" ht="22.5" customHeight="1">
      <c r="A11" s="6">
        <v>46024.55865125</v>
      </c>
      <c r="B11" s="7" t="s">
        <v>57</v>
      </c>
      <c r="C11" s="7" t="s">
        <v>58</v>
      </c>
      <c r="D11" s="7" t="s">
        <v>58</v>
      </c>
      <c r="E11" s="7" t="s">
        <v>59</v>
      </c>
      <c r="F11" s="7" t="s">
        <v>60</v>
      </c>
      <c r="G11" s="7" t="s">
        <v>61</v>
      </c>
      <c r="H11" s="7" t="s">
        <v>60</v>
      </c>
      <c r="I11" s="7" t="s">
        <v>60</v>
      </c>
      <c r="J11" s="7" t="s">
        <v>62</v>
      </c>
      <c r="K11" s="7" t="s">
        <v>63</v>
      </c>
      <c r="L11" s="7" t="s">
        <v>64</v>
      </c>
      <c r="M11" s="7" t="s">
        <v>65</v>
      </c>
      <c r="N11" s="7" t="s">
        <v>58</v>
      </c>
      <c r="O11" s="7" t="s">
        <v>58</v>
      </c>
      <c r="P11" s="7" t="s">
        <v>66</v>
      </c>
      <c r="Q11" s="7" t="s">
        <v>58</v>
      </c>
      <c r="R11" s="7" t="s">
        <v>58</v>
      </c>
      <c r="S11" s="7" t="s">
        <v>67</v>
      </c>
      <c r="T11" s="7" t="s">
        <v>58</v>
      </c>
      <c r="U11" s="7" t="s">
        <v>58</v>
      </c>
      <c r="V11" s="7" t="s">
        <v>58</v>
      </c>
      <c r="W11" s="7" t="s">
        <v>58</v>
      </c>
      <c r="X11" s="7" t="s">
        <v>58</v>
      </c>
      <c r="Y11" s="7" t="s">
        <v>67</v>
      </c>
      <c r="Z11" s="7" t="s">
        <v>66</v>
      </c>
      <c r="AA11" s="7" t="s">
        <v>58</v>
      </c>
      <c r="AB11" s="7" t="s">
        <v>58</v>
      </c>
      <c r="AC11" s="7" t="s">
        <v>67</v>
      </c>
      <c r="AD11" s="7" t="s">
        <v>58</v>
      </c>
      <c r="AE11" s="7" t="s">
        <v>58</v>
      </c>
      <c r="AF11" s="7" t="s">
        <v>58</v>
      </c>
      <c r="AG11" s="7" t="s">
        <v>58</v>
      </c>
      <c r="AH11" s="7" t="s">
        <v>66</v>
      </c>
      <c r="AI11" s="7" t="s">
        <v>68</v>
      </c>
      <c r="AJ11" s="7" t="s">
        <v>69</v>
      </c>
      <c r="AK11" s="7" t="s">
        <v>69</v>
      </c>
      <c r="AL11" s="7">
        <v>4.0</v>
      </c>
      <c r="AM11" s="7">
        <v>4.0</v>
      </c>
      <c r="AN11" s="7">
        <v>1.0</v>
      </c>
      <c r="AO11" s="7">
        <v>1.0</v>
      </c>
      <c r="AP11" s="7">
        <v>5.0</v>
      </c>
      <c r="AQ11" s="7">
        <v>3.0</v>
      </c>
      <c r="AR11" s="7">
        <v>1.0</v>
      </c>
      <c r="AS11" s="7">
        <v>5.0</v>
      </c>
      <c r="AT11" s="7">
        <v>1.0</v>
      </c>
      <c r="AU11" s="7">
        <v>5.0</v>
      </c>
      <c r="AV11" s="7">
        <v>1.0</v>
      </c>
      <c r="AW11" s="7">
        <v>5.0</v>
      </c>
      <c r="AX11" s="7">
        <v>1.0</v>
      </c>
      <c r="AY11" s="7">
        <v>5.0</v>
      </c>
      <c r="AZ11" s="7">
        <v>1.0</v>
      </c>
      <c r="BA11" s="7">
        <v>3.0</v>
      </c>
      <c r="BB11" s="7" t="s">
        <v>70</v>
      </c>
      <c r="BC11" s="7">
        <v>2.0</v>
      </c>
      <c r="BD11" s="7">
        <v>3.0</v>
      </c>
      <c r="BE11" s="7" t="s">
        <v>84</v>
      </c>
    </row>
    <row r="12" ht="22.5" customHeight="1">
      <c r="A12" s="6">
        <v>46024.64489314814</v>
      </c>
      <c r="B12" s="7" t="s">
        <v>57</v>
      </c>
      <c r="C12" s="7" t="s">
        <v>58</v>
      </c>
      <c r="D12" s="7" t="s">
        <v>58</v>
      </c>
      <c r="E12" s="7" t="s">
        <v>59</v>
      </c>
      <c r="F12" s="7" t="s">
        <v>60</v>
      </c>
      <c r="G12" s="7" t="s">
        <v>61</v>
      </c>
      <c r="H12" s="7" t="s">
        <v>60</v>
      </c>
      <c r="I12" s="7" t="s">
        <v>60</v>
      </c>
      <c r="J12" s="7" t="s">
        <v>62</v>
      </c>
      <c r="K12" s="7" t="s">
        <v>63</v>
      </c>
      <c r="L12" s="7" t="s">
        <v>64</v>
      </c>
      <c r="M12" s="7" t="s">
        <v>65</v>
      </c>
      <c r="N12" s="7" t="s">
        <v>58</v>
      </c>
      <c r="O12" s="7" t="s">
        <v>58</v>
      </c>
      <c r="P12" s="7" t="s">
        <v>66</v>
      </c>
      <c r="Q12" s="7" t="s">
        <v>67</v>
      </c>
      <c r="R12" s="7" t="s">
        <v>58</v>
      </c>
      <c r="S12" s="7" t="s">
        <v>58</v>
      </c>
      <c r="T12" s="7" t="s">
        <v>67</v>
      </c>
      <c r="U12" s="7" t="s">
        <v>67</v>
      </c>
      <c r="V12" s="7" t="s">
        <v>67</v>
      </c>
      <c r="W12" s="7" t="s">
        <v>67</v>
      </c>
      <c r="X12" s="7" t="s">
        <v>58</v>
      </c>
      <c r="Y12" s="7" t="s">
        <v>67</v>
      </c>
      <c r="Z12" s="7" t="s">
        <v>66</v>
      </c>
      <c r="AA12" s="7" t="s">
        <v>67</v>
      </c>
      <c r="AB12" s="7" t="s">
        <v>67</v>
      </c>
      <c r="AC12" s="7" t="s">
        <v>58</v>
      </c>
      <c r="AD12" s="7" t="s">
        <v>67</v>
      </c>
      <c r="AE12" s="7" t="s">
        <v>67</v>
      </c>
      <c r="AF12" s="7" t="s">
        <v>67</v>
      </c>
      <c r="AG12" s="7" t="s">
        <v>58</v>
      </c>
      <c r="AH12" s="7" t="s">
        <v>66</v>
      </c>
      <c r="AI12" s="7" t="s">
        <v>68</v>
      </c>
      <c r="AJ12" s="7" t="s">
        <v>69</v>
      </c>
      <c r="AK12" s="7" t="s">
        <v>69</v>
      </c>
      <c r="AL12" s="7">
        <v>5.0</v>
      </c>
      <c r="AM12" s="7">
        <v>5.0</v>
      </c>
      <c r="AN12" s="7">
        <v>1.0</v>
      </c>
      <c r="AO12" s="7">
        <v>1.0</v>
      </c>
      <c r="AP12" s="7">
        <v>5.0</v>
      </c>
      <c r="AQ12" s="7">
        <v>5.0</v>
      </c>
      <c r="AR12" s="7">
        <v>1.0</v>
      </c>
      <c r="AS12" s="7">
        <v>5.0</v>
      </c>
      <c r="AT12" s="7">
        <v>1.0</v>
      </c>
      <c r="AU12" s="7">
        <v>5.0</v>
      </c>
      <c r="AV12" s="7">
        <v>1.0</v>
      </c>
      <c r="AW12" s="7">
        <v>5.0</v>
      </c>
      <c r="AX12" s="7">
        <v>1.0</v>
      </c>
      <c r="AY12" s="7">
        <v>5.0</v>
      </c>
      <c r="AZ12" s="7">
        <v>1.0</v>
      </c>
      <c r="BA12" s="7">
        <v>5.0</v>
      </c>
      <c r="BB12" s="7" t="s">
        <v>70</v>
      </c>
      <c r="BC12" s="7">
        <v>4.0</v>
      </c>
      <c r="BD12" s="7">
        <v>10.0</v>
      </c>
      <c r="BE12" s="7" t="s">
        <v>85</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7.13"/>
    <col customWidth="1" min="6" max="48" width="37.63"/>
    <col customWidth="1" min="49" max="49" width="31.5"/>
    <col customWidth="1" min="50" max="53" width="37.63"/>
    <col customWidth="1" min="54" max="54" width="18.88"/>
    <col customWidth="1" min="55" max="56" width="37.63"/>
    <col customWidth="1" min="57" max="63"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25</v>
      </c>
      <c r="W1" s="3" t="s">
        <v>21</v>
      </c>
      <c r="X1" s="3" t="s">
        <v>22</v>
      </c>
      <c r="Y1" s="3" t="s">
        <v>23</v>
      </c>
      <c r="Z1" s="3" t="s">
        <v>24</v>
      </c>
      <c r="AA1" s="3" t="s">
        <v>26</v>
      </c>
      <c r="AB1" s="3" t="s">
        <v>27</v>
      </c>
      <c r="AC1" s="3" t="s">
        <v>28</v>
      </c>
      <c r="AD1" s="3" t="s">
        <v>29</v>
      </c>
      <c r="AE1" s="3" t="s">
        <v>30</v>
      </c>
      <c r="AF1" s="3" t="s">
        <v>31</v>
      </c>
      <c r="AG1" s="3" t="s">
        <v>33</v>
      </c>
      <c r="AH1" s="3" t="s">
        <v>32</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ht="22.5" customHeight="1">
      <c r="A2" s="4">
        <v>46020.602315219905</v>
      </c>
      <c r="B2" s="5" t="s">
        <v>57</v>
      </c>
      <c r="C2" s="5" t="s">
        <v>58</v>
      </c>
      <c r="D2" s="5" t="s">
        <v>58</v>
      </c>
      <c r="E2" s="5" t="s">
        <v>59</v>
      </c>
      <c r="F2" s="5" t="s">
        <v>60</v>
      </c>
      <c r="G2" s="5" t="s">
        <v>61</v>
      </c>
      <c r="H2" s="5" t="s">
        <v>60</v>
      </c>
      <c r="I2" s="5" t="s">
        <v>60</v>
      </c>
      <c r="J2" s="5" t="s">
        <v>62</v>
      </c>
      <c r="K2" s="5" t="s">
        <v>63</v>
      </c>
      <c r="L2" s="5" t="s">
        <v>64</v>
      </c>
      <c r="M2" s="5" t="s">
        <v>65</v>
      </c>
      <c r="N2" s="5" t="s">
        <v>58</v>
      </c>
      <c r="O2" s="5" t="s">
        <v>67</v>
      </c>
      <c r="P2" s="5" t="s">
        <v>58</v>
      </c>
      <c r="Q2" s="5" t="s">
        <v>58</v>
      </c>
      <c r="R2" s="5" t="s">
        <v>58</v>
      </c>
      <c r="S2" s="5" t="s">
        <v>58</v>
      </c>
      <c r="T2" s="5" t="s">
        <v>58</v>
      </c>
      <c r="U2" s="5" t="s">
        <v>58</v>
      </c>
      <c r="V2" s="5" t="s">
        <v>58</v>
      </c>
      <c r="W2" s="5" t="s">
        <v>67</v>
      </c>
      <c r="X2" s="5" t="s">
        <v>58</v>
      </c>
      <c r="Y2" s="5" t="s">
        <v>58</v>
      </c>
      <c r="Z2" s="5" t="s">
        <v>67</v>
      </c>
      <c r="AA2" s="5" t="s">
        <v>58</v>
      </c>
      <c r="AB2" s="5" t="s">
        <v>67</v>
      </c>
      <c r="AC2" s="5" t="s">
        <v>67</v>
      </c>
      <c r="AD2" s="5" t="s">
        <v>58</v>
      </c>
      <c r="AE2" s="5" t="s">
        <v>67</v>
      </c>
      <c r="AF2" s="5" t="s">
        <v>67</v>
      </c>
      <c r="AG2" s="5" t="s">
        <v>67</v>
      </c>
      <c r="AH2" s="5" t="s">
        <v>58</v>
      </c>
      <c r="AI2" s="5" t="s">
        <v>72</v>
      </c>
      <c r="AJ2" s="5" t="s">
        <v>69</v>
      </c>
      <c r="AK2" s="5" t="s">
        <v>73</v>
      </c>
      <c r="AL2" s="5">
        <v>4.0</v>
      </c>
      <c r="AM2" s="5">
        <v>4.0</v>
      </c>
      <c r="AN2" s="5">
        <v>2.0</v>
      </c>
      <c r="AO2" s="5">
        <v>1.0</v>
      </c>
      <c r="AP2" s="5">
        <v>4.0</v>
      </c>
      <c r="AQ2" s="5">
        <v>4.0</v>
      </c>
      <c r="AR2" s="5">
        <v>2.0</v>
      </c>
      <c r="AS2" s="5">
        <v>4.0</v>
      </c>
      <c r="AT2" s="5">
        <v>1.0</v>
      </c>
      <c r="AU2" s="5">
        <v>4.0</v>
      </c>
      <c r="AV2" s="5">
        <v>2.0</v>
      </c>
      <c r="AW2" s="5">
        <v>4.0</v>
      </c>
      <c r="AX2" s="5">
        <v>2.0</v>
      </c>
      <c r="AY2" s="5">
        <v>4.0</v>
      </c>
      <c r="AZ2" s="5">
        <v>3.0</v>
      </c>
      <c r="BA2" s="5">
        <v>4.0</v>
      </c>
      <c r="BB2" s="5" t="s">
        <v>70</v>
      </c>
      <c r="BC2" s="5">
        <v>3.0</v>
      </c>
      <c r="BD2" s="5">
        <v>4.0</v>
      </c>
      <c r="BE2" s="5" t="s">
        <v>86</v>
      </c>
    </row>
    <row r="3" ht="22.5" customHeight="1">
      <c r="A3" s="4">
        <v>46020.71687056713</v>
      </c>
      <c r="B3" s="5" t="s">
        <v>57</v>
      </c>
      <c r="C3" s="5" t="s">
        <v>58</v>
      </c>
      <c r="D3" s="5" t="s">
        <v>58</v>
      </c>
      <c r="E3" s="5" t="s">
        <v>59</v>
      </c>
      <c r="F3" s="5" t="s">
        <v>60</v>
      </c>
      <c r="G3" s="5" t="s">
        <v>61</v>
      </c>
      <c r="H3" s="5" t="s">
        <v>60</v>
      </c>
      <c r="I3" s="5" t="s">
        <v>60</v>
      </c>
      <c r="J3" s="5" t="s">
        <v>62</v>
      </c>
      <c r="K3" s="5" t="s">
        <v>63</v>
      </c>
      <c r="L3" s="5" t="s">
        <v>64</v>
      </c>
      <c r="M3" s="5" t="s">
        <v>65</v>
      </c>
      <c r="N3" s="5" t="s">
        <v>58</v>
      </c>
      <c r="O3" s="5" t="s">
        <v>58</v>
      </c>
      <c r="P3" s="5" t="s">
        <v>66</v>
      </c>
      <c r="Q3" s="5" t="s">
        <v>58</v>
      </c>
      <c r="R3" s="5" t="s">
        <v>58</v>
      </c>
      <c r="S3" s="5" t="s">
        <v>67</v>
      </c>
      <c r="T3" s="5" t="s">
        <v>58</v>
      </c>
      <c r="U3" s="5" t="s">
        <v>58</v>
      </c>
      <c r="V3" s="5" t="s">
        <v>66</v>
      </c>
      <c r="W3" s="5" t="s">
        <v>67</v>
      </c>
      <c r="X3" s="5" t="s">
        <v>58</v>
      </c>
      <c r="Y3" s="5" t="s">
        <v>58</v>
      </c>
      <c r="Z3" s="5" t="s">
        <v>67</v>
      </c>
      <c r="AA3" s="5" t="s">
        <v>58</v>
      </c>
      <c r="AB3" s="5" t="s">
        <v>58</v>
      </c>
      <c r="AC3" s="5" t="s">
        <v>67</v>
      </c>
      <c r="AD3" s="5" t="s">
        <v>58</v>
      </c>
      <c r="AE3" s="5" t="s">
        <v>58</v>
      </c>
      <c r="AF3" s="5" t="s">
        <v>58</v>
      </c>
      <c r="AG3" s="5" t="s">
        <v>66</v>
      </c>
      <c r="AH3" s="5" t="s">
        <v>58</v>
      </c>
      <c r="AI3" s="5" t="s">
        <v>77</v>
      </c>
      <c r="AJ3" s="5" t="s">
        <v>69</v>
      </c>
      <c r="AK3" s="5" t="s">
        <v>68</v>
      </c>
      <c r="AL3" s="5">
        <v>4.0</v>
      </c>
      <c r="AM3" s="5">
        <v>4.0</v>
      </c>
      <c r="AN3" s="5">
        <v>2.0</v>
      </c>
      <c r="AO3" s="5">
        <v>4.0</v>
      </c>
      <c r="AP3" s="5">
        <v>4.0</v>
      </c>
      <c r="AQ3" s="5">
        <v>4.0</v>
      </c>
      <c r="AR3" s="5">
        <v>1.0</v>
      </c>
      <c r="AS3" s="5">
        <v>4.0</v>
      </c>
      <c r="AT3" s="5">
        <v>1.0</v>
      </c>
      <c r="AU3" s="5">
        <v>5.0</v>
      </c>
      <c r="AV3" s="5">
        <v>3.0</v>
      </c>
      <c r="AW3" s="5">
        <v>5.0</v>
      </c>
      <c r="AX3" s="5">
        <v>1.0</v>
      </c>
      <c r="AY3" s="5">
        <v>5.0</v>
      </c>
      <c r="AZ3" s="5">
        <v>1.0</v>
      </c>
      <c r="BA3" s="5">
        <v>4.0</v>
      </c>
      <c r="BB3" s="5" t="s">
        <v>74</v>
      </c>
      <c r="BC3" s="5">
        <v>4.0</v>
      </c>
      <c r="BD3" s="5">
        <v>6.0</v>
      </c>
      <c r="BE3" s="5" t="s">
        <v>87</v>
      </c>
    </row>
    <row r="4" ht="22.5" customHeight="1">
      <c r="A4" s="4">
        <v>46020.78339449074</v>
      </c>
      <c r="B4" s="5" t="s">
        <v>57</v>
      </c>
      <c r="C4" s="5" t="s">
        <v>58</v>
      </c>
      <c r="D4" s="5" t="s">
        <v>58</v>
      </c>
      <c r="E4" s="5" t="s">
        <v>59</v>
      </c>
      <c r="F4" s="5" t="s">
        <v>60</v>
      </c>
      <c r="G4" s="5" t="s">
        <v>61</v>
      </c>
      <c r="H4" s="5" t="s">
        <v>60</v>
      </c>
      <c r="I4" s="5" t="s">
        <v>60</v>
      </c>
      <c r="J4" s="5" t="s">
        <v>62</v>
      </c>
      <c r="K4" s="5" t="s">
        <v>63</v>
      </c>
      <c r="L4" s="5" t="s">
        <v>64</v>
      </c>
      <c r="M4" s="5" t="s">
        <v>65</v>
      </c>
      <c r="N4" s="5" t="s">
        <v>67</v>
      </c>
      <c r="O4" s="5" t="s">
        <v>58</v>
      </c>
      <c r="P4" s="5" t="s">
        <v>66</v>
      </c>
      <c r="Q4" s="5" t="s">
        <v>58</v>
      </c>
      <c r="R4" s="5" t="s">
        <v>58</v>
      </c>
      <c r="S4" s="5" t="s">
        <v>58</v>
      </c>
      <c r="T4" s="5" t="s">
        <v>58</v>
      </c>
      <c r="U4" s="5" t="s">
        <v>67</v>
      </c>
      <c r="V4" s="5" t="s">
        <v>66</v>
      </c>
      <c r="W4" s="5" t="s">
        <v>58</v>
      </c>
      <c r="X4" s="5" t="s">
        <v>67</v>
      </c>
      <c r="Y4" s="5" t="s">
        <v>58</v>
      </c>
      <c r="Z4" s="5" t="s">
        <v>67</v>
      </c>
      <c r="AA4" s="5" t="s">
        <v>58</v>
      </c>
      <c r="AB4" s="5" t="s">
        <v>67</v>
      </c>
      <c r="AC4" s="5" t="s">
        <v>67</v>
      </c>
      <c r="AD4" s="5" t="s">
        <v>58</v>
      </c>
      <c r="AE4" s="5" t="s">
        <v>58</v>
      </c>
      <c r="AF4" s="5" t="s">
        <v>67</v>
      </c>
      <c r="AG4" s="5" t="s">
        <v>66</v>
      </c>
      <c r="AH4" s="5" t="s">
        <v>58</v>
      </c>
      <c r="AI4" s="5" t="s">
        <v>68</v>
      </c>
      <c r="AJ4" s="5" t="s">
        <v>68</v>
      </c>
      <c r="AK4" s="5" t="s">
        <v>73</v>
      </c>
      <c r="AL4" s="5">
        <v>2.0</v>
      </c>
      <c r="AM4" s="5">
        <v>4.0</v>
      </c>
      <c r="AN4" s="5">
        <v>5.0</v>
      </c>
      <c r="AO4" s="5">
        <v>1.0</v>
      </c>
      <c r="AP4" s="5">
        <v>5.0</v>
      </c>
      <c r="AQ4" s="5">
        <v>5.0</v>
      </c>
      <c r="AR4" s="5">
        <v>2.0</v>
      </c>
      <c r="AS4" s="5">
        <v>4.0</v>
      </c>
      <c r="AT4" s="5">
        <v>4.0</v>
      </c>
      <c r="AU4" s="5">
        <v>5.0</v>
      </c>
      <c r="AV4" s="5">
        <v>5.0</v>
      </c>
      <c r="AW4" s="5">
        <v>5.0</v>
      </c>
      <c r="AX4" s="5">
        <v>5.0</v>
      </c>
      <c r="AY4" s="5">
        <v>5.0</v>
      </c>
      <c r="AZ4" s="5">
        <v>1.0</v>
      </c>
      <c r="BA4" s="5">
        <v>3.0</v>
      </c>
      <c r="BB4" s="5" t="s">
        <v>70</v>
      </c>
      <c r="BC4" s="5">
        <v>3.0</v>
      </c>
      <c r="BD4" s="5">
        <v>7.0</v>
      </c>
      <c r="BE4" s="5" t="s">
        <v>88</v>
      </c>
    </row>
    <row r="5" ht="22.5" customHeight="1">
      <c r="A5" s="4">
        <v>46020.85013107639</v>
      </c>
      <c r="B5" s="5" t="s">
        <v>57</v>
      </c>
      <c r="C5" s="5" t="s">
        <v>58</v>
      </c>
      <c r="D5" s="5" t="s">
        <v>58</v>
      </c>
      <c r="E5" s="5" t="s">
        <v>59</v>
      </c>
      <c r="F5" s="5" t="s">
        <v>60</v>
      </c>
      <c r="G5" s="5" t="s">
        <v>61</v>
      </c>
      <c r="H5" s="5" t="s">
        <v>60</v>
      </c>
      <c r="I5" s="5" t="s">
        <v>60</v>
      </c>
      <c r="J5" s="5" t="s">
        <v>62</v>
      </c>
      <c r="K5" s="5" t="s">
        <v>63</v>
      </c>
      <c r="L5" s="5" t="s">
        <v>64</v>
      </c>
      <c r="M5" s="5" t="s">
        <v>65</v>
      </c>
      <c r="N5" s="5" t="s">
        <v>58</v>
      </c>
      <c r="O5" s="5" t="s">
        <v>58</v>
      </c>
      <c r="P5" s="5" t="s">
        <v>66</v>
      </c>
      <c r="Q5" s="5" t="s">
        <v>58</v>
      </c>
      <c r="R5" s="5" t="s">
        <v>67</v>
      </c>
      <c r="S5" s="5" t="s">
        <v>67</v>
      </c>
      <c r="T5" s="5" t="s">
        <v>67</v>
      </c>
      <c r="U5" s="5" t="s">
        <v>58</v>
      </c>
      <c r="V5" s="5" t="s">
        <v>66</v>
      </c>
      <c r="W5" s="5" t="s">
        <v>67</v>
      </c>
      <c r="X5" s="5" t="s">
        <v>58</v>
      </c>
      <c r="Y5" s="5" t="s">
        <v>58</v>
      </c>
      <c r="Z5" s="5" t="s">
        <v>67</v>
      </c>
      <c r="AA5" s="5" t="s">
        <v>58</v>
      </c>
      <c r="AB5" s="5" t="s">
        <v>67</v>
      </c>
      <c r="AC5" s="5" t="s">
        <v>67</v>
      </c>
      <c r="AD5" s="5" t="s">
        <v>58</v>
      </c>
      <c r="AE5" s="5" t="s">
        <v>67</v>
      </c>
      <c r="AF5" s="5" t="s">
        <v>67</v>
      </c>
      <c r="AG5" s="5" t="s">
        <v>66</v>
      </c>
      <c r="AH5" s="5" t="s">
        <v>58</v>
      </c>
      <c r="AI5" s="5" t="s">
        <v>72</v>
      </c>
      <c r="AJ5" s="5" t="s">
        <v>69</v>
      </c>
      <c r="AK5" s="5" t="s">
        <v>73</v>
      </c>
      <c r="AL5" s="5">
        <v>3.0</v>
      </c>
      <c r="AM5" s="5">
        <v>4.0</v>
      </c>
      <c r="AN5" s="5">
        <v>2.0</v>
      </c>
      <c r="AO5" s="5">
        <v>1.0</v>
      </c>
      <c r="AP5" s="5">
        <v>4.0</v>
      </c>
      <c r="AQ5" s="5">
        <v>3.0</v>
      </c>
      <c r="AR5" s="5">
        <v>1.0</v>
      </c>
      <c r="AS5" s="5">
        <v>4.0</v>
      </c>
      <c r="AT5" s="5">
        <v>1.0</v>
      </c>
      <c r="AU5" s="5">
        <v>4.0</v>
      </c>
      <c r="AV5" s="5">
        <v>1.0</v>
      </c>
      <c r="AW5" s="5">
        <v>3.0</v>
      </c>
      <c r="AX5" s="5">
        <v>1.0</v>
      </c>
      <c r="AY5" s="5">
        <v>3.0</v>
      </c>
      <c r="AZ5" s="5">
        <v>1.0</v>
      </c>
      <c r="BA5" s="5">
        <v>3.0</v>
      </c>
      <c r="BB5" s="5" t="s">
        <v>70</v>
      </c>
      <c r="BC5" s="5">
        <v>4.0</v>
      </c>
      <c r="BD5" s="5">
        <v>5.0</v>
      </c>
      <c r="BE5" s="5" t="s">
        <v>89</v>
      </c>
    </row>
    <row r="6" ht="22.5" customHeight="1">
      <c r="A6" s="4">
        <v>46020.88761902778</v>
      </c>
      <c r="B6" s="5" t="s">
        <v>57</v>
      </c>
      <c r="C6" s="5" t="s">
        <v>58</v>
      </c>
      <c r="D6" s="5" t="s">
        <v>58</v>
      </c>
      <c r="E6" s="5" t="s">
        <v>59</v>
      </c>
      <c r="F6" s="5" t="s">
        <v>60</v>
      </c>
      <c r="G6" s="5" t="s">
        <v>61</v>
      </c>
      <c r="H6" s="5" t="s">
        <v>60</v>
      </c>
      <c r="I6" s="5" t="s">
        <v>60</v>
      </c>
      <c r="J6" s="5" t="s">
        <v>62</v>
      </c>
      <c r="K6" s="5" t="s">
        <v>63</v>
      </c>
      <c r="L6" s="5" t="s">
        <v>64</v>
      </c>
      <c r="M6" s="5" t="s">
        <v>65</v>
      </c>
      <c r="N6" s="5" t="s">
        <v>58</v>
      </c>
      <c r="O6" s="5" t="s">
        <v>67</v>
      </c>
      <c r="P6" s="5" t="s">
        <v>66</v>
      </c>
      <c r="Q6" s="5" t="s">
        <v>58</v>
      </c>
      <c r="R6" s="5" t="s">
        <v>58</v>
      </c>
      <c r="S6" s="5" t="s">
        <v>67</v>
      </c>
      <c r="T6" s="5" t="s">
        <v>58</v>
      </c>
      <c r="U6" s="5" t="s">
        <v>67</v>
      </c>
      <c r="V6" s="5" t="s">
        <v>66</v>
      </c>
      <c r="W6" s="5" t="s">
        <v>67</v>
      </c>
      <c r="X6" s="5" t="s">
        <v>58</v>
      </c>
      <c r="Y6" s="5" t="s">
        <v>58</v>
      </c>
      <c r="Z6" s="5" t="s">
        <v>67</v>
      </c>
      <c r="AA6" s="5" t="s">
        <v>58</v>
      </c>
      <c r="AB6" s="5" t="s">
        <v>67</v>
      </c>
      <c r="AC6" s="5" t="s">
        <v>67</v>
      </c>
      <c r="AD6" s="5" t="s">
        <v>58</v>
      </c>
      <c r="AE6" s="5" t="s">
        <v>58</v>
      </c>
      <c r="AF6" s="5" t="s">
        <v>67</v>
      </c>
      <c r="AG6" s="5" t="s">
        <v>66</v>
      </c>
      <c r="AH6" s="5" t="s">
        <v>58</v>
      </c>
      <c r="AI6" s="5" t="s">
        <v>72</v>
      </c>
      <c r="AJ6" s="5" t="s">
        <v>69</v>
      </c>
      <c r="AK6" s="5" t="s">
        <v>69</v>
      </c>
      <c r="AL6" s="5">
        <v>4.0</v>
      </c>
      <c r="AM6" s="5">
        <v>5.0</v>
      </c>
      <c r="AN6" s="5">
        <v>1.0</v>
      </c>
      <c r="AO6" s="5">
        <v>1.0</v>
      </c>
      <c r="AP6" s="5">
        <v>4.0</v>
      </c>
      <c r="AQ6" s="5">
        <v>5.0</v>
      </c>
      <c r="AR6" s="5">
        <v>3.0</v>
      </c>
      <c r="AS6" s="5">
        <v>4.0</v>
      </c>
      <c r="AT6" s="5">
        <v>1.0</v>
      </c>
      <c r="AU6" s="5">
        <v>5.0</v>
      </c>
      <c r="AV6" s="5">
        <v>4.0</v>
      </c>
      <c r="AW6" s="5">
        <v>5.0</v>
      </c>
      <c r="AX6" s="5">
        <v>3.0</v>
      </c>
      <c r="AY6" s="5">
        <v>4.0</v>
      </c>
      <c r="AZ6" s="5">
        <v>2.0</v>
      </c>
      <c r="BA6" s="5">
        <v>3.0</v>
      </c>
      <c r="BB6" s="5" t="s">
        <v>90</v>
      </c>
      <c r="BC6" s="5">
        <v>2.0</v>
      </c>
      <c r="BD6" s="5">
        <v>6.0</v>
      </c>
      <c r="BE6" s="5" t="s">
        <v>91</v>
      </c>
    </row>
    <row r="7" ht="22.5" customHeight="1">
      <c r="A7" s="4">
        <v>46020.93161347222</v>
      </c>
      <c r="B7" s="5" t="s">
        <v>57</v>
      </c>
      <c r="C7" s="5" t="s">
        <v>58</v>
      </c>
      <c r="D7" s="5" t="s">
        <v>58</v>
      </c>
      <c r="E7" s="5" t="s">
        <v>59</v>
      </c>
      <c r="F7" s="5" t="s">
        <v>60</v>
      </c>
      <c r="G7" s="5" t="s">
        <v>61</v>
      </c>
      <c r="H7" s="5" t="s">
        <v>60</v>
      </c>
      <c r="I7" s="5" t="s">
        <v>60</v>
      </c>
      <c r="J7" s="5" t="s">
        <v>62</v>
      </c>
      <c r="K7" s="5" t="s">
        <v>63</v>
      </c>
      <c r="L7" s="5" t="s">
        <v>64</v>
      </c>
      <c r="M7" s="5" t="s">
        <v>65</v>
      </c>
      <c r="N7" s="5" t="s">
        <v>58</v>
      </c>
      <c r="O7" s="5" t="s">
        <v>67</v>
      </c>
      <c r="P7" s="5" t="s">
        <v>66</v>
      </c>
      <c r="Q7" s="5" t="s">
        <v>67</v>
      </c>
      <c r="R7" s="5" t="s">
        <v>67</v>
      </c>
      <c r="S7" s="5" t="s">
        <v>67</v>
      </c>
      <c r="T7" s="5" t="s">
        <v>67</v>
      </c>
      <c r="U7" s="5" t="s">
        <v>67</v>
      </c>
      <c r="V7" s="5" t="s">
        <v>66</v>
      </c>
      <c r="W7" s="5" t="s">
        <v>67</v>
      </c>
      <c r="X7" s="5" t="s">
        <v>67</v>
      </c>
      <c r="Y7" s="5" t="s">
        <v>67</v>
      </c>
      <c r="Z7" s="5" t="s">
        <v>67</v>
      </c>
      <c r="AA7" s="5" t="s">
        <v>67</v>
      </c>
      <c r="AB7" s="5" t="s">
        <v>67</v>
      </c>
      <c r="AC7" s="5" t="s">
        <v>67</v>
      </c>
      <c r="AD7" s="5" t="s">
        <v>67</v>
      </c>
      <c r="AE7" s="5" t="s">
        <v>67</v>
      </c>
      <c r="AF7" s="5" t="s">
        <v>67</v>
      </c>
      <c r="AG7" s="5" t="s">
        <v>66</v>
      </c>
      <c r="AH7" s="5" t="s">
        <v>67</v>
      </c>
      <c r="AI7" s="5" t="s">
        <v>72</v>
      </c>
      <c r="AJ7" s="5" t="s">
        <v>73</v>
      </c>
      <c r="AK7" s="5" t="s">
        <v>73</v>
      </c>
      <c r="AL7" s="5">
        <v>4.0</v>
      </c>
      <c r="AM7" s="5">
        <v>4.0</v>
      </c>
      <c r="AN7" s="5">
        <v>1.0</v>
      </c>
      <c r="AO7" s="5">
        <v>1.0</v>
      </c>
      <c r="AP7" s="5">
        <v>5.0</v>
      </c>
      <c r="AQ7" s="5">
        <v>5.0</v>
      </c>
      <c r="AR7" s="5">
        <v>1.0</v>
      </c>
      <c r="AS7" s="5">
        <v>5.0</v>
      </c>
      <c r="AT7" s="5">
        <v>1.0</v>
      </c>
      <c r="AU7" s="5">
        <v>5.0</v>
      </c>
      <c r="AV7" s="5">
        <v>1.0</v>
      </c>
      <c r="AW7" s="5">
        <v>5.0</v>
      </c>
      <c r="AX7" s="5">
        <v>1.0</v>
      </c>
      <c r="AY7" s="5">
        <v>5.0</v>
      </c>
      <c r="AZ7" s="5">
        <v>1.0</v>
      </c>
      <c r="BA7" s="5">
        <v>5.0</v>
      </c>
      <c r="BB7" s="5" t="s">
        <v>70</v>
      </c>
      <c r="BC7" s="5">
        <v>1.0</v>
      </c>
      <c r="BD7" s="5">
        <v>8.0</v>
      </c>
      <c r="BE7" s="5" t="s">
        <v>92</v>
      </c>
    </row>
    <row r="8" ht="22.5" customHeight="1">
      <c r="A8" s="4">
        <v>46021.031562337965</v>
      </c>
      <c r="B8" s="5" t="s">
        <v>57</v>
      </c>
      <c r="C8" s="5" t="s">
        <v>58</v>
      </c>
      <c r="D8" s="5" t="s">
        <v>58</v>
      </c>
      <c r="E8" s="5" t="s">
        <v>59</v>
      </c>
      <c r="F8" s="5" t="s">
        <v>60</v>
      </c>
      <c r="G8" s="5" t="s">
        <v>61</v>
      </c>
      <c r="H8" s="5" t="s">
        <v>60</v>
      </c>
      <c r="I8" s="5" t="s">
        <v>60</v>
      </c>
      <c r="J8" s="5" t="s">
        <v>62</v>
      </c>
      <c r="K8" s="5" t="s">
        <v>63</v>
      </c>
      <c r="L8" s="5" t="s">
        <v>64</v>
      </c>
      <c r="M8" s="5" t="s">
        <v>65</v>
      </c>
      <c r="N8" s="5" t="s">
        <v>58</v>
      </c>
      <c r="O8" s="5" t="s">
        <v>58</v>
      </c>
      <c r="P8" s="5" t="s">
        <v>66</v>
      </c>
      <c r="Q8" s="5" t="s">
        <v>58</v>
      </c>
      <c r="R8" s="5" t="s">
        <v>58</v>
      </c>
      <c r="S8" s="5" t="s">
        <v>58</v>
      </c>
      <c r="T8" s="5" t="s">
        <v>58</v>
      </c>
      <c r="U8" s="5" t="s">
        <v>58</v>
      </c>
      <c r="V8" s="5" t="s">
        <v>66</v>
      </c>
      <c r="W8" s="5" t="s">
        <v>58</v>
      </c>
      <c r="X8" s="5" t="s">
        <v>58</v>
      </c>
      <c r="Y8" s="5" t="s">
        <v>67</v>
      </c>
      <c r="Z8" s="5" t="s">
        <v>67</v>
      </c>
      <c r="AA8" s="5" t="s">
        <v>58</v>
      </c>
      <c r="AB8" s="5" t="s">
        <v>58</v>
      </c>
      <c r="AC8" s="5" t="s">
        <v>58</v>
      </c>
      <c r="AD8" s="5" t="s">
        <v>58</v>
      </c>
      <c r="AE8" s="5" t="s">
        <v>58</v>
      </c>
      <c r="AF8" s="5" t="s">
        <v>58</v>
      </c>
      <c r="AG8" s="5" t="s">
        <v>66</v>
      </c>
      <c r="AH8" s="5" t="s">
        <v>58</v>
      </c>
      <c r="AI8" s="5" t="s">
        <v>77</v>
      </c>
      <c r="AJ8" s="5" t="s">
        <v>69</v>
      </c>
      <c r="AK8" s="5" t="s">
        <v>69</v>
      </c>
      <c r="AL8" s="5">
        <v>4.0</v>
      </c>
      <c r="AM8" s="5">
        <v>3.0</v>
      </c>
      <c r="AN8" s="5">
        <v>1.0</v>
      </c>
      <c r="AO8" s="5">
        <v>1.0</v>
      </c>
      <c r="AP8" s="5">
        <v>4.0</v>
      </c>
      <c r="AQ8" s="5">
        <v>3.0</v>
      </c>
      <c r="AR8" s="5">
        <v>2.0</v>
      </c>
      <c r="AS8" s="5">
        <v>3.0</v>
      </c>
      <c r="AT8" s="5">
        <v>1.0</v>
      </c>
      <c r="AU8" s="5">
        <v>3.0</v>
      </c>
      <c r="AV8" s="5">
        <v>4.0</v>
      </c>
      <c r="AW8" s="5">
        <v>3.0</v>
      </c>
      <c r="AX8" s="5">
        <v>3.0</v>
      </c>
      <c r="AY8" s="5">
        <v>4.0</v>
      </c>
      <c r="AZ8" s="5">
        <v>1.0</v>
      </c>
      <c r="BA8" s="5">
        <v>3.0</v>
      </c>
      <c r="BB8" s="5" t="s">
        <v>70</v>
      </c>
      <c r="BC8" s="5">
        <v>6.0</v>
      </c>
      <c r="BD8" s="5">
        <v>6.0</v>
      </c>
      <c r="BE8" s="5" t="s">
        <v>93</v>
      </c>
    </row>
    <row r="9" ht="22.5" customHeight="1">
      <c r="A9" s="4">
        <v>46021.202846932865</v>
      </c>
      <c r="B9" s="5" t="s">
        <v>57</v>
      </c>
      <c r="C9" s="5" t="s">
        <v>58</v>
      </c>
      <c r="D9" s="5" t="s">
        <v>58</v>
      </c>
      <c r="E9" s="5" t="s">
        <v>59</v>
      </c>
      <c r="F9" s="5" t="s">
        <v>60</v>
      </c>
      <c r="G9" s="5" t="s">
        <v>61</v>
      </c>
      <c r="H9" s="5" t="s">
        <v>60</v>
      </c>
      <c r="I9" s="5" t="s">
        <v>60</v>
      </c>
      <c r="J9" s="5" t="s">
        <v>62</v>
      </c>
      <c r="K9" s="5" t="s">
        <v>63</v>
      </c>
      <c r="L9" s="5" t="s">
        <v>64</v>
      </c>
      <c r="M9" s="5" t="s">
        <v>65</v>
      </c>
      <c r="N9" s="5" t="s">
        <v>58</v>
      </c>
      <c r="O9" s="5" t="s">
        <v>67</v>
      </c>
      <c r="P9" s="5" t="s">
        <v>58</v>
      </c>
      <c r="Q9" s="5" t="s">
        <v>58</v>
      </c>
      <c r="R9" s="5" t="s">
        <v>58</v>
      </c>
      <c r="S9" s="5" t="s">
        <v>67</v>
      </c>
      <c r="T9" s="5" t="s">
        <v>58</v>
      </c>
      <c r="U9" s="5" t="s">
        <v>67</v>
      </c>
      <c r="V9" s="5" t="s">
        <v>58</v>
      </c>
      <c r="W9" s="5" t="s">
        <v>67</v>
      </c>
      <c r="X9" s="5" t="s">
        <v>67</v>
      </c>
      <c r="Y9" s="5" t="s">
        <v>58</v>
      </c>
      <c r="Z9" s="5" t="s">
        <v>58</v>
      </c>
      <c r="AA9" s="5" t="s">
        <v>58</v>
      </c>
      <c r="AB9" s="5" t="s">
        <v>67</v>
      </c>
      <c r="AC9" s="5" t="s">
        <v>67</v>
      </c>
      <c r="AD9" s="5" t="s">
        <v>58</v>
      </c>
      <c r="AE9" s="5" t="s">
        <v>58</v>
      </c>
      <c r="AF9" s="5" t="s">
        <v>67</v>
      </c>
      <c r="AG9" s="5" t="s">
        <v>66</v>
      </c>
      <c r="AH9" s="5" t="s">
        <v>67</v>
      </c>
      <c r="AI9" s="5" t="s">
        <v>72</v>
      </c>
      <c r="AJ9" s="5" t="s">
        <v>73</v>
      </c>
      <c r="AK9" s="5" t="s">
        <v>69</v>
      </c>
      <c r="AL9" s="5">
        <v>5.0</v>
      </c>
      <c r="AM9" s="5">
        <v>4.0</v>
      </c>
      <c r="AN9" s="5">
        <v>5.0</v>
      </c>
      <c r="AO9" s="5">
        <v>5.0</v>
      </c>
      <c r="AP9" s="5">
        <v>5.0</v>
      </c>
      <c r="AQ9" s="5">
        <v>5.0</v>
      </c>
      <c r="AR9" s="5">
        <v>1.0</v>
      </c>
      <c r="AS9" s="5">
        <v>5.0</v>
      </c>
      <c r="AT9" s="5">
        <v>1.0</v>
      </c>
      <c r="AU9" s="5">
        <v>5.0</v>
      </c>
      <c r="AV9" s="5">
        <v>1.0</v>
      </c>
      <c r="AW9" s="5">
        <v>5.0</v>
      </c>
      <c r="AX9" s="5">
        <v>1.0</v>
      </c>
      <c r="AY9" s="5">
        <v>5.0</v>
      </c>
      <c r="AZ9" s="5">
        <v>1.0</v>
      </c>
      <c r="BA9" s="5">
        <v>5.0</v>
      </c>
      <c r="BB9" s="5" t="s">
        <v>70</v>
      </c>
      <c r="BC9" s="5">
        <v>4.0</v>
      </c>
      <c r="BD9" s="5">
        <v>6.0</v>
      </c>
      <c r="BE9" s="5" t="s">
        <v>94</v>
      </c>
    </row>
    <row r="10" ht="22.5" customHeight="1">
      <c r="A10" s="6">
        <v>46022.68834049768</v>
      </c>
      <c r="B10" s="7" t="s">
        <v>57</v>
      </c>
      <c r="C10" s="7" t="s">
        <v>58</v>
      </c>
      <c r="D10" s="7" t="s">
        <v>58</v>
      </c>
      <c r="E10" s="7" t="s">
        <v>59</v>
      </c>
      <c r="F10" s="7" t="s">
        <v>60</v>
      </c>
      <c r="G10" s="7" t="s">
        <v>61</v>
      </c>
      <c r="H10" s="7" t="s">
        <v>60</v>
      </c>
      <c r="I10" s="7" t="s">
        <v>60</v>
      </c>
      <c r="J10" s="7" t="s">
        <v>62</v>
      </c>
      <c r="K10" s="7" t="s">
        <v>63</v>
      </c>
      <c r="L10" s="7" t="s">
        <v>64</v>
      </c>
      <c r="M10" s="7" t="s">
        <v>65</v>
      </c>
      <c r="N10" s="7" t="s">
        <v>58</v>
      </c>
      <c r="O10" s="7" t="s">
        <v>67</v>
      </c>
      <c r="P10" s="7" t="s">
        <v>66</v>
      </c>
      <c r="Q10" s="7" t="s">
        <v>58</v>
      </c>
      <c r="R10" s="7" t="s">
        <v>58</v>
      </c>
      <c r="S10" s="7" t="s">
        <v>67</v>
      </c>
      <c r="T10" s="7" t="s">
        <v>58</v>
      </c>
      <c r="U10" s="7" t="s">
        <v>58</v>
      </c>
      <c r="V10" s="7" t="s">
        <v>66</v>
      </c>
      <c r="W10" s="7" t="s">
        <v>67</v>
      </c>
      <c r="X10" s="7" t="s">
        <v>58</v>
      </c>
      <c r="Y10" s="7" t="s">
        <v>58</v>
      </c>
      <c r="Z10" s="7" t="s">
        <v>67</v>
      </c>
      <c r="AA10" s="7" t="s">
        <v>58</v>
      </c>
      <c r="AB10" s="7" t="s">
        <v>67</v>
      </c>
      <c r="AC10" s="7" t="s">
        <v>67</v>
      </c>
      <c r="AD10" s="7" t="s">
        <v>58</v>
      </c>
      <c r="AE10" s="7" t="s">
        <v>67</v>
      </c>
      <c r="AF10" s="7" t="s">
        <v>58</v>
      </c>
      <c r="AG10" s="7" t="s">
        <v>66</v>
      </c>
      <c r="AH10" s="7" t="s">
        <v>67</v>
      </c>
      <c r="AI10" s="7" t="s">
        <v>72</v>
      </c>
      <c r="AJ10" s="7" t="s">
        <v>73</v>
      </c>
      <c r="AK10" s="7" t="s">
        <v>73</v>
      </c>
      <c r="AL10" s="7">
        <v>4.0</v>
      </c>
      <c r="AM10" s="7">
        <v>4.0</v>
      </c>
      <c r="AN10" s="7">
        <v>2.0</v>
      </c>
      <c r="AO10" s="7">
        <v>2.0</v>
      </c>
      <c r="AP10" s="7">
        <v>5.0</v>
      </c>
      <c r="AQ10" s="7">
        <v>5.0</v>
      </c>
      <c r="AR10" s="7">
        <v>1.0</v>
      </c>
      <c r="AS10" s="7">
        <v>5.0</v>
      </c>
      <c r="AT10" s="7">
        <v>1.0</v>
      </c>
      <c r="AU10" s="7">
        <v>5.0</v>
      </c>
      <c r="AV10" s="7">
        <v>3.0</v>
      </c>
      <c r="AW10" s="7">
        <v>5.0</v>
      </c>
      <c r="AX10" s="7">
        <v>2.0</v>
      </c>
      <c r="AY10" s="7">
        <v>5.0</v>
      </c>
      <c r="AZ10" s="7">
        <v>1.0</v>
      </c>
      <c r="BA10" s="7">
        <v>4.0</v>
      </c>
      <c r="BB10" s="7" t="s">
        <v>74</v>
      </c>
      <c r="BC10" s="7">
        <v>3.0</v>
      </c>
      <c r="BD10" s="7">
        <v>4.0</v>
      </c>
      <c r="BE10" s="7" t="s">
        <v>95</v>
      </c>
    </row>
    <row r="11" ht="22.5" customHeight="1">
      <c r="A11" s="6">
        <v>46022.744398888884</v>
      </c>
      <c r="B11" s="7" t="s">
        <v>57</v>
      </c>
      <c r="C11" s="7" t="s">
        <v>58</v>
      </c>
      <c r="D11" s="7" t="s">
        <v>58</v>
      </c>
      <c r="E11" s="7" t="s">
        <v>59</v>
      </c>
      <c r="F11" s="7" t="s">
        <v>60</v>
      </c>
      <c r="G11" s="7" t="s">
        <v>61</v>
      </c>
      <c r="H11" s="7" t="s">
        <v>60</v>
      </c>
      <c r="I11" s="7" t="s">
        <v>60</v>
      </c>
      <c r="J11" s="7" t="s">
        <v>62</v>
      </c>
      <c r="K11" s="7" t="s">
        <v>63</v>
      </c>
      <c r="L11" s="7" t="s">
        <v>64</v>
      </c>
      <c r="M11" s="7" t="s">
        <v>65</v>
      </c>
      <c r="N11" s="7" t="s">
        <v>58</v>
      </c>
      <c r="O11" s="7" t="s">
        <v>58</v>
      </c>
      <c r="P11" s="7" t="s">
        <v>66</v>
      </c>
      <c r="Q11" s="7" t="s">
        <v>58</v>
      </c>
      <c r="R11" s="7" t="s">
        <v>58</v>
      </c>
      <c r="S11" s="7" t="s">
        <v>67</v>
      </c>
      <c r="T11" s="7" t="s">
        <v>58</v>
      </c>
      <c r="U11" s="7" t="s">
        <v>58</v>
      </c>
      <c r="V11" s="7" t="s">
        <v>66</v>
      </c>
      <c r="W11" s="7" t="s">
        <v>67</v>
      </c>
      <c r="X11" s="7" t="s">
        <v>58</v>
      </c>
      <c r="Y11" s="7" t="s">
        <v>67</v>
      </c>
      <c r="Z11" s="7" t="s">
        <v>67</v>
      </c>
      <c r="AA11" s="7" t="s">
        <v>58</v>
      </c>
      <c r="AB11" s="7" t="s">
        <v>58</v>
      </c>
      <c r="AC11" s="7" t="s">
        <v>58</v>
      </c>
      <c r="AD11" s="7" t="s">
        <v>58</v>
      </c>
      <c r="AE11" s="7" t="s">
        <v>67</v>
      </c>
      <c r="AF11" s="7" t="s">
        <v>58</v>
      </c>
      <c r="AG11" s="7" t="s">
        <v>66</v>
      </c>
      <c r="AH11" s="7" t="s">
        <v>58</v>
      </c>
      <c r="AI11" s="7" t="s">
        <v>68</v>
      </c>
      <c r="AJ11" s="7" t="s">
        <v>69</v>
      </c>
      <c r="AK11" s="7" t="s">
        <v>69</v>
      </c>
      <c r="AL11" s="7">
        <v>5.0</v>
      </c>
      <c r="AM11" s="7">
        <v>5.0</v>
      </c>
      <c r="AN11" s="7">
        <v>5.0</v>
      </c>
      <c r="AO11" s="7">
        <v>3.0</v>
      </c>
      <c r="AP11" s="7">
        <v>5.0</v>
      </c>
      <c r="AQ11" s="7">
        <v>5.0</v>
      </c>
      <c r="AR11" s="7">
        <v>2.0</v>
      </c>
      <c r="AS11" s="7">
        <v>3.0</v>
      </c>
      <c r="AT11" s="7">
        <v>1.0</v>
      </c>
      <c r="AU11" s="7">
        <v>5.0</v>
      </c>
      <c r="AV11" s="7">
        <v>3.0</v>
      </c>
      <c r="AW11" s="7">
        <v>5.0</v>
      </c>
      <c r="AX11" s="7">
        <v>4.0</v>
      </c>
      <c r="AY11" s="7">
        <v>3.0</v>
      </c>
      <c r="AZ11" s="7">
        <v>1.0</v>
      </c>
      <c r="BA11" s="7">
        <v>3.0</v>
      </c>
      <c r="BB11" s="7" t="s">
        <v>74</v>
      </c>
      <c r="BC11" s="7">
        <v>3.0</v>
      </c>
      <c r="BD11" s="7">
        <v>9.0</v>
      </c>
      <c r="BE11" s="7" t="s">
        <v>96</v>
      </c>
    </row>
    <row r="12" ht="22.5" customHeight="1">
      <c r="A12" s="6">
        <v>46022.74578778935</v>
      </c>
      <c r="B12" s="7" t="s">
        <v>57</v>
      </c>
      <c r="C12" s="7" t="s">
        <v>58</v>
      </c>
      <c r="D12" s="7" t="s">
        <v>58</v>
      </c>
      <c r="E12" s="7" t="s">
        <v>59</v>
      </c>
      <c r="F12" s="7" t="s">
        <v>60</v>
      </c>
      <c r="G12" s="7" t="s">
        <v>61</v>
      </c>
      <c r="H12" s="7" t="s">
        <v>60</v>
      </c>
      <c r="I12" s="7" t="s">
        <v>60</v>
      </c>
      <c r="J12" s="7" t="s">
        <v>62</v>
      </c>
      <c r="K12" s="7" t="s">
        <v>63</v>
      </c>
      <c r="L12" s="7" t="s">
        <v>64</v>
      </c>
      <c r="M12" s="7" t="s">
        <v>97</v>
      </c>
      <c r="N12" s="7" t="s">
        <v>67</v>
      </c>
      <c r="O12" s="7" t="s">
        <v>58</v>
      </c>
      <c r="P12" s="7" t="s">
        <v>67</v>
      </c>
      <c r="Q12" s="7" t="s">
        <v>67</v>
      </c>
      <c r="R12" s="7" t="s">
        <v>58</v>
      </c>
      <c r="S12" s="7" t="s">
        <v>67</v>
      </c>
      <c r="T12" s="7" t="s">
        <v>67</v>
      </c>
      <c r="U12" s="7" t="s">
        <v>58</v>
      </c>
      <c r="V12" s="7" t="s">
        <v>67</v>
      </c>
      <c r="W12" s="7" t="s">
        <v>67</v>
      </c>
      <c r="X12" s="7" t="s">
        <v>58</v>
      </c>
      <c r="Y12" s="7" t="s">
        <v>58</v>
      </c>
      <c r="Z12" s="7" t="s">
        <v>67</v>
      </c>
      <c r="AA12" s="7" t="s">
        <v>58</v>
      </c>
      <c r="AB12" s="7" t="s">
        <v>58</v>
      </c>
      <c r="AC12" s="7" t="s">
        <v>67</v>
      </c>
      <c r="AD12" s="7" t="s">
        <v>58</v>
      </c>
      <c r="AE12" s="7" t="s">
        <v>58</v>
      </c>
      <c r="AF12" s="7" t="s">
        <v>67</v>
      </c>
      <c r="AG12" s="7" t="s">
        <v>66</v>
      </c>
      <c r="AH12" s="7" t="s">
        <v>67</v>
      </c>
      <c r="AI12" s="7" t="s">
        <v>72</v>
      </c>
      <c r="AJ12" s="7" t="s">
        <v>69</v>
      </c>
      <c r="AK12" s="7" t="s">
        <v>69</v>
      </c>
      <c r="AL12" s="7">
        <v>1.0</v>
      </c>
      <c r="AM12" s="7">
        <v>1.0</v>
      </c>
      <c r="AN12" s="7">
        <v>1.0</v>
      </c>
      <c r="AO12" s="7">
        <v>5.0</v>
      </c>
      <c r="AP12" s="7">
        <v>4.0</v>
      </c>
      <c r="AQ12" s="7">
        <v>3.0</v>
      </c>
      <c r="AR12" s="7">
        <v>3.0</v>
      </c>
      <c r="AS12" s="7">
        <v>3.0</v>
      </c>
      <c r="AT12" s="7">
        <v>2.0</v>
      </c>
      <c r="AU12" s="7">
        <v>5.0</v>
      </c>
      <c r="AV12" s="7">
        <v>3.0</v>
      </c>
      <c r="AW12" s="7">
        <v>5.0</v>
      </c>
      <c r="AX12" s="7">
        <v>3.0</v>
      </c>
      <c r="AY12" s="7">
        <v>3.0</v>
      </c>
      <c r="AZ12" s="7">
        <v>3.0</v>
      </c>
      <c r="BA12" s="7">
        <v>4.0</v>
      </c>
      <c r="BB12" s="7" t="s">
        <v>70</v>
      </c>
      <c r="BC12" s="7">
        <v>3.0</v>
      </c>
      <c r="BD12" s="7">
        <v>2.0</v>
      </c>
      <c r="BE12" s="7" t="s">
        <v>98</v>
      </c>
    </row>
    <row r="13" ht="22.5" customHeight="1">
      <c r="A13" s="6">
        <v>46023.50685822917</v>
      </c>
      <c r="B13" s="7" t="s">
        <v>57</v>
      </c>
      <c r="C13" s="7" t="s">
        <v>58</v>
      </c>
      <c r="D13" s="7" t="s">
        <v>58</v>
      </c>
      <c r="E13" s="7" t="s">
        <v>59</v>
      </c>
      <c r="F13" s="7" t="s">
        <v>60</v>
      </c>
      <c r="G13" s="7" t="s">
        <v>61</v>
      </c>
      <c r="H13" s="7" t="s">
        <v>60</v>
      </c>
      <c r="I13" s="7" t="s">
        <v>60</v>
      </c>
      <c r="J13" s="7" t="s">
        <v>62</v>
      </c>
      <c r="K13" s="7" t="s">
        <v>63</v>
      </c>
      <c r="L13" s="7" t="s">
        <v>64</v>
      </c>
      <c r="M13" s="7" t="s">
        <v>65</v>
      </c>
      <c r="N13" s="7" t="s">
        <v>58</v>
      </c>
      <c r="O13" s="7" t="s">
        <v>58</v>
      </c>
      <c r="P13" s="7" t="s">
        <v>66</v>
      </c>
      <c r="Q13" s="7" t="s">
        <v>58</v>
      </c>
      <c r="R13" s="7" t="s">
        <v>58</v>
      </c>
      <c r="S13" s="7" t="s">
        <v>58</v>
      </c>
      <c r="T13" s="7" t="s">
        <v>58</v>
      </c>
      <c r="U13" s="7" t="s">
        <v>58</v>
      </c>
      <c r="V13" s="7" t="s">
        <v>66</v>
      </c>
      <c r="W13" s="7" t="s">
        <v>58</v>
      </c>
      <c r="X13" s="7" t="s">
        <v>58</v>
      </c>
      <c r="Y13" s="7" t="s">
        <v>67</v>
      </c>
      <c r="Z13" s="7" t="s">
        <v>58</v>
      </c>
      <c r="AA13" s="7" t="s">
        <v>58</v>
      </c>
      <c r="AB13" s="7" t="s">
        <v>58</v>
      </c>
      <c r="AC13" s="7" t="s">
        <v>58</v>
      </c>
      <c r="AD13" s="7" t="s">
        <v>58</v>
      </c>
      <c r="AE13" s="7" t="s">
        <v>58</v>
      </c>
      <c r="AF13" s="7" t="s">
        <v>67</v>
      </c>
      <c r="AG13" s="7" t="s">
        <v>66</v>
      </c>
      <c r="AH13" s="7" t="s">
        <v>58</v>
      </c>
      <c r="AI13" s="7" t="s">
        <v>72</v>
      </c>
      <c r="AJ13" s="7" t="s">
        <v>69</v>
      </c>
      <c r="AK13" s="7" t="s">
        <v>73</v>
      </c>
      <c r="AL13" s="7">
        <v>3.0</v>
      </c>
      <c r="AM13" s="7">
        <v>4.0</v>
      </c>
      <c r="AN13" s="7">
        <v>1.0</v>
      </c>
      <c r="AO13" s="7">
        <v>1.0</v>
      </c>
      <c r="AP13" s="7">
        <v>4.0</v>
      </c>
      <c r="AQ13" s="7">
        <v>1.0</v>
      </c>
      <c r="AR13" s="7">
        <v>1.0</v>
      </c>
      <c r="AS13" s="7">
        <v>5.0</v>
      </c>
      <c r="AT13" s="7">
        <v>1.0</v>
      </c>
      <c r="AU13" s="7">
        <v>4.0</v>
      </c>
      <c r="AV13" s="7">
        <v>5.0</v>
      </c>
      <c r="AW13" s="7">
        <v>5.0</v>
      </c>
      <c r="AX13" s="7">
        <v>4.0</v>
      </c>
      <c r="AY13" s="7">
        <v>5.0</v>
      </c>
      <c r="AZ13" s="7">
        <v>1.0</v>
      </c>
      <c r="BA13" s="7">
        <v>3.0</v>
      </c>
      <c r="BB13" s="7" t="s">
        <v>70</v>
      </c>
      <c r="BC13" s="7">
        <v>4.0</v>
      </c>
      <c r="BD13" s="7">
        <v>5.0</v>
      </c>
      <c r="BE13" s="7" t="s">
        <v>99</v>
      </c>
    </row>
    <row r="14" ht="22.5" customHeight="1">
      <c r="A14" s="6">
        <v>46024.04002163194</v>
      </c>
      <c r="B14" s="7" t="s">
        <v>57</v>
      </c>
      <c r="C14" s="7" t="s">
        <v>58</v>
      </c>
      <c r="D14" s="7" t="s">
        <v>58</v>
      </c>
      <c r="E14" s="7" t="s">
        <v>59</v>
      </c>
      <c r="F14" s="7" t="s">
        <v>60</v>
      </c>
      <c r="G14" s="7" t="s">
        <v>61</v>
      </c>
      <c r="H14" s="7" t="s">
        <v>60</v>
      </c>
      <c r="I14" s="7" t="s">
        <v>60</v>
      </c>
      <c r="J14" s="7" t="s">
        <v>62</v>
      </c>
      <c r="K14" s="7" t="s">
        <v>63</v>
      </c>
      <c r="L14" s="7" t="s">
        <v>64</v>
      </c>
      <c r="M14" s="7" t="s">
        <v>65</v>
      </c>
      <c r="N14" s="7" t="s">
        <v>67</v>
      </c>
      <c r="O14" s="7" t="s">
        <v>67</v>
      </c>
      <c r="P14" s="7" t="s">
        <v>66</v>
      </c>
      <c r="Q14" s="7" t="s">
        <v>67</v>
      </c>
      <c r="R14" s="7" t="s">
        <v>67</v>
      </c>
      <c r="S14" s="7" t="s">
        <v>67</v>
      </c>
      <c r="T14" s="7" t="s">
        <v>67</v>
      </c>
      <c r="U14" s="7" t="s">
        <v>67</v>
      </c>
      <c r="V14" s="7" t="s">
        <v>66</v>
      </c>
      <c r="W14" s="7" t="s">
        <v>67</v>
      </c>
      <c r="X14" s="7" t="s">
        <v>67</v>
      </c>
      <c r="Y14" s="7" t="s">
        <v>67</v>
      </c>
      <c r="Z14" s="7" t="s">
        <v>67</v>
      </c>
      <c r="AA14" s="7" t="s">
        <v>67</v>
      </c>
      <c r="AB14" s="7" t="s">
        <v>67</v>
      </c>
      <c r="AC14" s="7" t="s">
        <v>67</v>
      </c>
      <c r="AD14" s="7" t="s">
        <v>67</v>
      </c>
      <c r="AE14" s="7" t="s">
        <v>67</v>
      </c>
      <c r="AF14" s="7" t="s">
        <v>67</v>
      </c>
      <c r="AG14" s="7" t="s">
        <v>66</v>
      </c>
      <c r="AH14" s="7" t="s">
        <v>67</v>
      </c>
      <c r="AI14" s="7" t="s">
        <v>72</v>
      </c>
      <c r="AJ14" s="7" t="s">
        <v>73</v>
      </c>
      <c r="AK14" s="7" t="s">
        <v>73</v>
      </c>
      <c r="AL14" s="7">
        <v>5.0</v>
      </c>
      <c r="AM14" s="7">
        <v>5.0</v>
      </c>
      <c r="AN14" s="7">
        <v>1.0</v>
      </c>
      <c r="AO14" s="7">
        <v>1.0</v>
      </c>
      <c r="AP14" s="7">
        <v>5.0</v>
      </c>
      <c r="AQ14" s="7">
        <v>5.0</v>
      </c>
      <c r="AR14" s="7">
        <v>3.0</v>
      </c>
      <c r="AS14" s="7">
        <v>3.0</v>
      </c>
      <c r="AT14" s="7">
        <v>3.0</v>
      </c>
      <c r="AU14" s="7">
        <v>3.0</v>
      </c>
      <c r="AV14" s="7">
        <v>3.0</v>
      </c>
      <c r="AW14" s="7">
        <v>3.0</v>
      </c>
      <c r="AX14" s="7">
        <v>3.0</v>
      </c>
      <c r="AY14" s="7">
        <v>3.0</v>
      </c>
      <c r="AZ14" s="7">
        <v>3.0</v>
      </c>
      <c r="BA14" s="7">
        <v>3.0</v>
      </c>
      <c r="BB14" s="7" t="s">
        <v>70</v>
      </c>
      <c r="BC14" s="7">
        <v>5.0</v>
      </c>
      <c r="BD14" s="7">
        <v>7.0</v>
      </c>
      <c r="BE14" s="7" t="s">
        <v>100</v>
      </c>
    </row>
    <row r="15" ht="22.5" customHeight="1">
      <c r="A15" s="6">
        <v>46024.438614178245</v>
      </c>
      <c r="B15" s="7" t="s">
        <v>57</v>
      </c>
      <c r="C15" s="7" t="s">
        <v>58</v>
      </c>
      <c r="D15" s="7" t="s">
        <v>58</v>
      </c>
      <c r="E15" s="7" t="s">
        <v>59</v>
      </c>
      <c r="F15" s="7" t="s">
        <v>60</v>
      </c>
      <c r="G15" s="7" t="s">
        <v>61</v>
      </c>
      <c r="H15" s="7" t="s">
        <v>60</v>
      </c>
      <c r="I15" s="7" t="s">
        <v>60</v>
      </c>
      <c r="J15" s="7" t="s">
        <v>62</v>
      </c>
      <c r="K15" s="7" t="s">
        <v>63</v>
      </c>
      <c r="L15" s="7" t="s">
        <v>64</v>
      </c>
      <c r="M15" s="7" t="s">
        <v>65</v>
      </c>
      <c r="N15" s="7" t="s">
        <v>58</v>
      </c>
      <c r="O15" s="7" t="s">
        <v>67</v>
      </c>
      <c r="P15" s="7" t="s">
        <v>66</v>
      </c>
      <c r="Q15" s="7" t="s">
        <v>58</v>
      </c>
      <c r="R15" s="7" t="s">
        <v>58</v>
      </c>
      <c r="S15" s="7" t="s">
        <v>58</v>
      </c>
      <c r="T15" s="7" t="s">
        <v>58</v>
      </c>
      <c r="U15" s="7" t="s">
        <v>58</v>
      </c>
      <c r="V15" s="7" t="s">
        <v>66</v>
      </c>
      <c r="W15" s="7" t="s">
        <v>67</v>
      </c>
      <c r="X15" s="7" t="s">
        <v>58</v>
      </c>
      <c r="Y15" s="7" t="s">
        <v>58</v>
      </c>
      <c r="Z15" s="7" t="s">
        <v>58</v>
      </c>
      <c r="AA15" s="7" t="s">
        <v>58</v>
      </c>
      <c r="AB15" s="7" t="s">
        <v>58</v>
      </c>
      <c r="AC15" s="7" t="s">
        <v>58</v>
      </c>
      <c r="AD15" s="7" t="s">
        <v>58</v>
      </c>
      <c r="AE15" s="7" t="s">
        <v>58</v>
      </c>
      <c r="AF15" s="7" t="s">
        <v>58</v>
      </c>
      <c r="AG15" s="7" t="s">
        <v>66</v>
      </c>
      <c r="AH15" s="7" t="s">
        <v>58</v>
      </c>
      <c r="AI15" s="7" t="s">
        <v>68</v>
      </c>
      <c r="AJ15" s="7" t="s">
        <v>69</v>
      </c>
      <c r="AK15" s="7" t="s">
        <v>69</v>
      </c>
      <c r="AL15" s="7">
        <v>5.0</v>
      </c>
      <c r="AM15" s="7">
        <v>5.0</v>
      </c>
      <c r="AN15" s="7">
        <v>1.0</v>
      </c>
      <c r="AO15" s="7">
        <v>1.0</v>
      </c>
      <c r="AP15" s="7">
        <v>5.0</v>
      </c>
      <c r="AQ15" s="7">
        <v>5.0</v>
      </c>
      <c r="AR15" s="7">
        <v>1.0</v>
      </c>
      <c r="AS15" s="7">
        <v>5.0</v>
      </c>
      <c r="AT15" s="7">
        <v>1.0</v>
      </c>
      <c r="AU15" s="7">
        <v>5.0</v>
      </c>
      <c r="AV15" s="7">
        <v>4.0</v>
      </c>
      <c r="AW15" s="7">
        <v>5.0</v>
      </c>
      <c r="AX15" s="7">
        <v>1.0</v>
      </c>
      <c r="AY15" s="7">
        <v>5.0</v>
      </c>
      <c r="AZ15" s="7">
        <v>1.0</v>
      </c>
      <c r="BA15" s="7">
        <v>5.0</v>
      </c>
      <c r="BB15" s="7" t="s">
        <v>70</v>
      </c>
      <c r="BC15" s="7">
        <v>2.0</v>
      </c>
      <c r="BD15" s="7">
        <v>5.0</v>
      </c>
      <c r="BE15" s="7" t="s">
        <v>101</v>
      </c>
    </row>
    <row r="16" ht="22.5" customHeight="1">
      <c r="A16" s="6">
        <v>46024.5655484375</v>
      </c>
      <c r="B16" s="7" t="s">
        <v>57</v>
      </c>
      <c r="C16" s="7" t="s">
        <v>58</v>
      </c>
      <c r="D16" s="7" t="s">
        <v>58</v>
      </c>
      <c r="E16" s="7" t="s">
        <v>59</v>
      </c>
      <c r="F16" s="7" t="s">
        <v>60</v>
      </c>
      <c r="G16" s="7" t="s">
        <v>61</v>
      </c>
      <c r="H16" s="7" t="s">
        <v>60</v>
      </c>
      <c r="I16" s="7" t="s">
        <v>60</v>
      </c>
      <c r="J16" s="7" t="s">
        <v>62</v>
      </c>
      <c r="K16" s="7" t="s">
        <v>63</v>
      </c>
      <c r="L16" s="7" t="s">
        <v>64</v>
      </c>
      <c r="M16" s="7" t="s">
        <v>65</v>
      </c>
      <c r="N16" s="7" t="s">
        <v>58</v>
      </c>
      <c r="O16" s="7" t="s">
        <v>67</v>
      </c>
      <c r="P16" s="7" t="s">
        <v>66</v>
      </c>
      <c r="Q16" s="7" t="s">
        <v>58</v>
      </c>
      <c r="R16" s="7" t="s">
        <v>58</v>
      </c>
      <c r="S16" s="7" t="s">
        <v>67</v>
      </c>
      <c r="T16" s="7" t="s">
        <v>58</v>
      </c>
      <c r="U16" s="7" t="s">
        <v>58</v>
      </c>
      <c r="V16" s="7" t="s">
        <v>66</v>
      </c>
      <c r="W16" s="7" t="s">
        <v>67</v>
      </c>
      <c r="X16" s="7" t="s">
        <v>58</v>
      </c>
      <c r="Y16" s="7" t="s">
        <v>58</v>
      </c>
      <c r="Z16" s="7" t="s">
        <v>67</v>
      </c>
      <c r="AA16" s="7" t="s">
        <v>58</v>
      </c>
      <c r="AB16" s="7" t="s">
        <v>67</v>
      </c>
      <c r="AC16" s="7" t="s">
        <v>67</v>
      </c>
      <c r="AD16" s="7" t="s">
        <v>58</v>
      </c>
      <c r="AE16" s="7" t="s">
        <v>58</v>
      </c>
      <c r="AF16" s="7" t="s">
        <v>67</v>
      </c>
      <c r="AG16" s="7" t="s">
        <v>66</v>
      </c>
      <c r="AH16" s="7" t="s">
        <v>58</v>
      </c>
      <c r="AI16" s="7" t="s">
        <v>72</v>
      </c>
      <c r="AJ16" s="7" t="s">
        <v>69</v>
      </c>
      <c r="AK16" s="7" t="s">
        <v>68</v>
      </c>
      <c r="AL16" s="7">
        <v>5.0</v>
      </c>
      <c r="AM16" s="7">
        <v>5.0</v>
      </c>
      <c r="AN16" s="7">
        <v>5.0</v>
      </c>
      <c r="AO16" s="7">
        <v>1.0</v>
      </c>
      <c r="AP16" s="7">
        <v>5.0</v>
      </c>
      <c r="AQ16" s="7">
        <v>3.0</v>
      </c>
      <c r="AR16" s="7">
        <v>1.0</v>
      </c>
      <c r="AS16" s="7">
        <v>3.0</v>
      </c>
      <c r="AT16" s="7">
        <v>3.0</v>
      </c>
      <c r="AU16" s="7">
        <v>3.0</v>
      </c>
      <c r="AV16" s="7">
        <v>3.0</v>
      </c>
      <c r="AW16" s="7">
        <v>3.0</v>
      </c>
      <c r="AX16" s="7">
        <v>3.0</v>
      </c>
      <c r="AY16" s="7">
        <v>5.0</v>
      </c>
      <c r="AZ16" s="7">
        <v>1.0</v>
      </c>
      <c r="BA16" s="7">
        <v>5.0</v>
      </c>
      <c r="BB16" s="7" t="s">
        <v>70</v>
      </c>
      <c r="BC16" s="7">
        <v>4.0</v>
      </c>
      <c r="BD16" s="7">
        <v>5.0</v>
      </c>
      <c r="BE16" s="7" t="s">
        <v>102</v>
      </c>
    </row>
    <row r="17" ht="22.5" customHeight="1">
      <c r="A17" s="6">
        <v>46024.59010402778</v>
      </c>
      <c r="B17" s="7" t="s">
        <v>57</v>
      </c>
      <c r="C17" s="7" t="s">
        <v>58</v>
      </c>
      <c r="D17" s="7" t="s">
        <v>58</v>
      </c>
      <c r="E17" s="7" t="s">
        <v>59</v>
      </c>
      <c r="F17" s="7" t="s">
        <v>60</v>
      </c>
      <c r="G17" s="7" t="s">
        <v>61</v>
      </c>
      <c r="H17" s="7" t="s">
        <v>60</v>
      </c>
      <c r="I17" s="7" t="s">
        <v>60</v>
      </c>
      <c r="J17" s="7" t="s">
        <v>62</v>
      </c>
      <c r="K17" s="7" t="s">
        <v>63</v>
      </c>
      <c r="L17" s="7" t="s">
        <v>64</v>
      </c>
      <c r="M17" s="7" t="s">
        <v>65</v>
      </c>
      <c r="N17" s="7" t="s">
        <v>58</v>
      </c>
      <c r="O17" s="7" t="s">
        <v>67</v>
      </c>
      <c r="P17" s="7" t="s">
        <v>66</v>
      </c>
      <c r="Q17" s="7" t="s">
        <v>58</v>
      </c>
      <c r="R17" s="7" t="s">
        <v>58</v>
      </c>
      <c r="S17" s="7" t="s">
        <v>67</v>
      </c>
      <c r="T17" s="7" t="s">
        <v>58</v>
      </c>
      <c r="U17" s="7" t="s">
        <v>67</v>
      </c>
      <c r="V17" s="7" t="s">
        <v>66</v>
      </c>
      <c r="W17" s="7" t="s">
        <v>67</v>
      </c>
      <c r="X17" s="7" t="s">
        <v>58</v>
      </c>
      <c r="Y17" s="7" t="s">
        <v>58</v>
      </c>
      <c r="Z17" s="7" t="s">
        <v>67</v>
      </c>
      <c r="AA17" s="7" t="s">
        <v>58</v>
      </c>
      <c r="AB17" s="7" t="s">
        <v>58</v>
      </c>
      <c r="AC17" s="7" t="s">
        <v>67</v>
      </c>
      <c r="AD17" s="7" t="s">
        <v>58</v>
      </c>
      <c r="AE17" s="7" t="s">
        <v>58</v>
      </c>
      <c r="AF17" s="7" t="s">
        <v>67</v>
      </c>
      <c r="AG17" s="7" t="s">
        <v>66</v>
      </c>
      <c r="AH17" s="7" t="s">
        <v>58</v>
      </c>
      <c r="AI17" s="7" t="s">
        <v>72</v>
      </c>
      <c r="AJ17" s="7" t="s">
        <v>69</v>
      </c>
      <c r="AK17" s="7" t="s">
        <v>69</v>
      </c>
      <c r="AL17" s="7">
        <v>4.0</v>
      </c>
      <c r="AM17" s="7">
        <v>5.0</v>
      </c>
      <c r="AN17" s="7">
        <v>1.0</v>
      </c>
      <c r="AO17" s="7">
        <v>1.0</v>
      </c>
      <c r="AP17" s="7">
        <v>4.0</v>
      </c>
      <c r="AQ17" s="7">
        <v>3.0</v>
      </c>
      <c r="AR17" s="7">
        <v>1.0</v>
      </c>
      <c r="AS17" s="7">
        <v>4.0</v>
      </c>
      <c r="AT17" s="7">
        <v>1.0</v>
      </c>
      <c r="AU17" s="7">
        <v>4.0</v>
      </c>
      <c r="AV17" s="7">
        <v>3.0</v>
      </c>
      <c r="AW17" s="7">
        <v>4.0</v>
      </c>
      <c r="AX17" s="7">
        <v>2.0</v>
      </c>
      <c r="AY17" s="7">
        <v>2.0</v>
      </c>
      <c r="AZ17" s="7">
        <v>1.0</v>
      </c>
      <c r="BA17" s="7">
        <v>1.0</v>
      </c>
      <c r="BB17" s="7" t="s">
        <v>74</v>
      </c>
      <c r="BC17" s="7">
        <v>6.0</v>
      </c>
      <c r="BD17" s="7">
        <v>8.0</v>
      </c>
      <c r="BE17" s="7" t="s">
        <v>103</v>
      </c>
    </row>
    <row r="18" ht="22.5" customHeight="1">
      <c r="A18" s="6">
        <v>46024.786756851856</v>
      </c>
      <c r="B18" s="7" t="s">
        <v>57</v>
      </c>
      <c r="C18" s="7" t="s">
        <v>58</v>
      </c>
      <c r="D18" s="7" t="s">
        <v>58</v>
      </c>
      <c r="E18" s="7" t="s">
        <v>59</v>
      </c>
      <c r="F18" s="7" t="s">
        <v>60</v>
      </c>
      <c r="G18" s="7" t="s">
        <v>61</v>
      </c>
      <c r="H18" s="7" t="s">
        <v>60</v>
      </c>
      <c r="I18" s="7" t="s">
        <v>60</v>
      </c>
      <c r="J18" s="7" t="s">
        <v>62</v>
      </c>
      <c r="K18" s="7" t="s">
        <v>63</v>
      </c>
      <c r="L18" s="7" t="s">
        <v>64</v>
      </c>
      <c r="M18" s="7" t="s">
        <v>65</v>
      </c>
      <c r="N18" s="7" t="s">
        <v>58</v>
      </c>
      <c r="O18" s="7" t="s">
        <v>67</v>
      </c>
      <c r="P18" s="7" t="s">
        <v>66</v>
      </c>
      <c r="Q18" s="7" t="s">
        <v>58</v>
      </c>
      <c r="R18" s="7" t="s">
        <v>67</v>
      </c>
      <c r="S18" s="7" t="s">
        <v>67</v>
      </c>
      <c r="T18" s="7" t="s">
        <v>58</v>
      </c>
      <c r="U18" s="7" t="s">
        <v>67</v>
      </c>
      <c r="V18" s="7" t="s">
        <v>58</v>
      </c>
      <c r="W18" s="7" t="s">
        <v>67</v>
      </c>
      <c r="X18" s="7" t="s">
        <v>58</v>
      </c>
      <c r="Y18" s="7" t="s">
        <v>58</v>
      </c>
      <c r="Z18" s="7" t="s">
        <v>67</v>
      </c>
      <c r="AA18" s="7" t="s">
        <v>58</v>
      </c>
      <c r="AB18" s="7" t="s">
        <v>58</v>
      </c>
      <c r="AC18" s="7" t="s">
        <v>58</v>
      </c>
      <c r="AD18" s="7" t="s">
        <v>67</v>
      </c>
      <c r="AE18" s="7" t="s">
        <v>58</v>
      </c>
      <c r="AF18" s="7" t="s">
        <v>67</v>
      </c>
      <c r="AG18" s="7" t="s">
        <v>58</v>
      </c>
      <c r="AH18" s="7" t="s">
        <v>58</v>
      </c>
      <c r="AI18" s="7" t="s">
        <v>77</v>
      </c>
      <c r="AJ18" s="7" t="s">
        <v>69</v>
      </c>
      <c r="AK18" s="7" t="s">
        <v>69</v>
      </c>
      <c r="AL18" s="7">
        <v>3.0</v>
      </c>
      <c r="AM18" s="7">
        <v>4.0</v>
      </c>
      <c r="AN18" s="7">
        <v>2.0</v>
      </c>
      <c r="AO18" s="7">
        <v>2.0</v>
      </c>
      <c r="AP18" s="7">
        <v>3.0</v>
      </c>
      <c r="AQ18" s="7">
        <v>2.0</v>
      </c>
      <c r="AR18" s="7">
        <v>4.0</v>
      </c>
      <c r="AS18" s="7">
        <v>5.0</v>
      </c>
      <c r="AT18" s="7">
        <v>1.0</v>
      </c>
      <c r="AU18" s="7">
        <v>4.0</v>
      </c>
      <c r="AV18" s="7">
        <v>3.0</v>
      </c>
      <c r="AW18" s="7">
        <v>3.0</v>
      </c>
      <c r="AX18" s="7">
        <v>3.0</v>
      </c>
      <c r="AY18" s="7">
        <v>4.0</v>
      </c>
      <c r="AZ18" s="7">
        <v>2.0</v>
      </c>
      <c r="BA18" s="7">
        <v>3.0</v>
      </c>
      <c r="BB18" s="7" t="s">
        <v>74</v>
      </c>
      <c r="BC18" s="7">
        <v>5.0</v>
      </c>
      <c r="BD18" s="7">
        <v>5.0</v>
      </c>
      <c r="BE18" s="7" t="s">
        <v>104</v>
      </c>
    </row>
    <row r="19" ht="22.5" customHeight="1">
      <c r="A19" s="6">
        <v>46025.684182488425</v>
      </c>
      <c r="B19" s="7" t="s">
        <v>57</v>
      </c>
      <c r="C19" s="7" t="s">
        <v>58</v>
      </c>
      <c r="D19" s="7" t="s">
        <v>58</v>
      </c>
      <c r="E19" s="7" t="s">
        <v>59</v>
      </c>
      <c r="F19" s="7" t="s">
        <v>60</v>
      </c>
      <c r="G19" s="7" t="s">
        <v>61</v>
      </c>
      <c r="H19" s="7" t="s">
        <v>60</v>
      </c>
      <c r="I19" s="7" t="s">
        <v>60</v>
      </c>
      <c r="J19" s="7" t="s">
        <v>62</v>
      </c>
      <c r="K19" s="7" t="s">
        <v>63</v>
      </c>
      <c r="L19" s="7" t="s">
        <v>64</v>
      </c>
      <c r="M19" s="7" t="s">
        <v>65</v>
      </c>
      <c r="N19" s="7" t="s">
        <v>58</v>
      </c>
      <c r="O19" s="7" t="s">
        <v>58</v>
      </c>
      <c r="P19" s="7" t="s">
        <v>66</v>
      </c>
      <c r="Q19" s="7" t="s">
        <v>58</v>
      </c>
      <c r="R19" s="7" t="s">
        <v>58</v>
      </c>
      <c r="S19" s="7" t="s">
        <v>58</v>
      </c>
      <c r="T19" s="7" t="s">
        <v>58</v>
      </c>
      <c r="U19" s="7" t="s">
        <v>58</v>
      </c>
      <c r="V19" s="7" t="s">
        <v>66</v>
      </c>
      <c r="W19" s="7" t="s">
        <v>58</v>
      </c>
      <c r="X19" s="7" t="s">
        <v>58</v>
      </c>
      <c r="Y19" s="7" t="s">
        <v>58</v>
      </c>
      <c r="Z19" s="7" t="s">
        <v>58</v>
      </c>
      <c r="AA19" s="7" t="s">
        <v>58</v>
      </c>
      <c r="AB19" s="7" t="s">
        <v>58</v>
      </c>
      <c r="AC19" s="7" t="s">
        <v>58</v>
      </c>
      <c r="AD19" s="7" t="s">
        <v>58</v>
      </c>
      <c r="AE19" s="7" t="s">
        <v>58</v>
      </c>
      <c r="AF19" s="7" t="s">
        <v>58</v>
      </c>
      <c r="AG19" s="7" t="s">
        <v>66</v>
      </c>
      <c r="AH19" s="7" t="s">
        <v>58</v>
      </c>
      <c r="AI19" s="7" t="s">
        <v>77</v>
      </c>
      <c r="AJ19" s="7" t="s">
        <v>69</v>
      </c>
      <c r="AK19" s="7" t="s">
        <v>69</v>
      </c>
      <c r="AL19" s="7">
        <v>4.0</v>
      </c>
      <c r="AM19" s="7">
        <v>4.0</v>
      </c>
      <c r="AN19" s="7">
        <v>2.0</v>
      </c>
      <c r="AO19" s="7">
        <v>1.0</v>
      </c>
      <c r="AP19" s="7">
        <v>5.0</v>
      </c>
      <c r="AQ19" s="7">
        <v>4.0</v>
      </c>
      <c r="AR19" s="7">
        <v>2.0</v>
      </c>
      <c r="AS19" s="7">
        <v>3.0</v>
      </c>
      <c r="AT19" s="7">
        <v>1.0</v>
      </c>
      <c r="AU19" s="7">
        <v>4.0</v>
      </c>
      <c r="AV19" s="7">
        <v>3.0</v>
      </c>
      <c r="AW19" s="7">
        <v>3.0</v>
      </c>
      <c r="AX19" s="7">
        <v>3.0</v>
      </c>
      <c r="AY19" s="7">
        <v>3.0</v>
      </c>
      <c r="AZ19" s="7">
        <v>1.0</v>
      </c>
      <c r="BA19" s="7">
        <v>3.0</v>
      </c>
      <c r="BB19" s="7" t="s">
        <v>70</v>
      </c>
      <c r="BC19" s="7">
        <v>6.0</v>
      </c>
      <c r="BD19" s="7">
        <v>6.0</v>
      </c>
      <c r="BE19" s="7" t="s">
        <v>105</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7.13"/>
    <col customWidth="1" min="6" max="48" width="37.63"/>
    <col customWidth="1" min="49" max="49" width="31.5"/>
    <col customWidth="1" min="50" max="53" width="37.63"/>
    <col customWidth="1" min="54" max="54" width="18.88"/>
    <col customWidth="1" min="55" max="56" width="37.63"/>
    <col customWidth="1" min="57" max="63"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16</v>
      </c>
      <c r="Q1" s="3" t="s">
        <v>17</v>
      </c>
      <c r="R1" s="3" t="s">
        <v>18</v>
      </c>
      <c r="S1" s="3" t="s">
        <v>15</v>
      </c>
      <c r="T1" s="3" t="s">
        <v>19</v>
      </c>
      <c r="U1" s="3" t="s">
        <v>20</v>
      </c>
      <c r="V1" s="3" t="s">
        <v>21</v>
      </c>
      <c r="W1" s="3" t="s">
        <v>22</v>
      </c>
      <c r="X1" s="3" t="s">
        <v>25</v>
      </c>
      <c r="Y1" s="3" t="s">
        <v>23</v>
      </c>
      <c r="Z1" s="3" t="s">
        <v>24</v>
      </c>
      <c r="AA1" s="3" t="s">
        <v>26</v>
      </c>
      <c r="AB1" s="3" t="s">
        <v>27</v>
      </c>
      <c r="AC1" s="3" t="s">
        <v>33</v>
      </c>
      <c r="AD1" s="3" t="s">
        <v>28</v>
      </c>
      <c r="AE1" s="3" t="s">
        <v>29</v>
      </c>
      <c r="AF1" s="3" t="s">
        <v>30</v>
      </c>
      <c r="AG1" s="3" t="s">
        <v>31</v>
      </c>
      <c r="AH1" s="3" t="s">
        <v>32</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ht="22.5" customHeight="1">
      <c r="A2" s="4">
        <v>46020.58405578704</v>
      </c>
      <c r="B2" s="5" t="s">
        <v>57</v>
      </c>
      <c r="C2" s="5" t="s">
        <v>58</v>
      </c>
      <c r="D2" s="5" t="s">
        <v>58</v>
      </c>
      <c r="E2" s="5" t="s">
        <v>59</v>
      </c>
      <c r="F2" s="5" t="s">
        <v>60</v>
      </c>
      <c r="G2" s="5" t="s">
        <v>61</v>
      </c>
      <c r="H2" s="5" t="s">
        <v>60</v>
      </c>
      <c r="I2" s="5" t="s">
        <v>60</v>
      </c>
      <c r="J2" s="5" t="s">
        <v>62</v>
      </c>
      <c r="K2" s="5" t="s">
        <v>63</v>
      </c>
      <c r="L2" s="5" t="s">
        <v>64</v>
      </c>
      <c r="M2" s="5" t="s">
        <v>65</v>
      </c>
      <c r="N2" s="5" t="s">
        <v>58</v>
      </c>
      <c r="O2" s="5" t="s">
        <v>67</v>
      </c>
      <c r="P2" s="5" t="s">
        <v>58</v>
      </c>
      <c r="Q2" s="5" t="s">
        <v>58</v>
      </c>
      <c r="R2" s="5" t="s">
        <v>67</v>
      </c>
      <c r="S2" s="5" t="s">
        <v>66</v>
      </c>
      <c r="T2" s="5" t="s">
        <v>58</v>
      </c>
      <c r="U2" s="5" t="s">
        <v>58</v>
      </c>
      <c r="V2" s="5" t="s">
        <v>67</v>
      </c>
      <c r="W2" s="5" t="s">
        <v>67</v>
      </c>
      <c r="X2" s="5" t="s">
        <v>66</v>
      </c>
      <c r="Y2" s="5" t="s">
        <v>58</v>
      </c>
      <c r="Z2" s="5" t="s">
        <v>67</v>
      </c>
      <c r="AA2" s="5" t="s">
        <v>58</v>
      </c>
      <c r="AB2" s="5" t="s">
        <v>58</v>
      </c>
      <c r="AC2" s="5" t="s">
        <v>66</v>
      </c>
      <c r="AD2" s="5" t="s">
        <v>67</v>
      </c>
      <c r="AE2" s="5" t="s">
        <v>67</v>
      </c>
      <c r="AF2" s="5" t="s">
        <v>58</v>
      </c>
      <c r="AG2" s="5" t="s">
        <v>67</v>
      </c>
      <c r="AH2" s="5" t="s">
        <v>58</v>
      </c>
      <c r="AI2" s="5" t="s">
        <v>68</v>
      </c>
      <c r="AJ2" s="5" t="s">
        <v>69</v>
      </c>
      <c r="AK2" s="5" t="s">
        <v>68</v>
      </c>
      <c r="AL2" s="5">
        <v>4.0</v>
      </c>
      <c r="AM2" s="5">
        <v>4.0</v>
      </c>
      <c r="AN2" s="5">
        <v>2.0</v>
      </c>
      <c r="AO2" s="5">
        <v>2.0</v>
      </c>
      <c r="AP2" s="5">
        <v>4.0</v>
      </c>
      <c r="AQ2" s="5">
        <v>4.0</v>
      </c>
      <c r="AR2" s="5">
        <v>1.0</v>
      </c>
      <c r="AS2" s="5">
        <v>2.0</v>
      </c>
      <c r="AT2" s="5">
        <v>1.0</v>
      </c>
      <c r="AU2" s="5">
        <v>2.0</v>
      </c>
      <c r="AV2" s="5">
        <v>1.0</v>
      </c>
      <c r="AW2" s="5">
        <v>3.0</v>
      </c>
      <c r="AX2" s="5">
        <v>1.0</v>
      </c>
      <c r="AY2" s="5">
        <v>5.0</v>
      </c>
      <c r="AZ2" s="5">
        <v>1.0</v>
      </c>
      <c r="BA2" s="5">
        <v>2.0</v>
      </c>
      <c r="BB2" s="5" t="s">
        <v>70</v>
      </c>
      <c r="BC2" s="5">
        <v>2.0</v>
      </c>
      <c r="BD2" s="5">
        <v>6.0</v>
      </c>
      <c r="BE2" s="5" t="s">
        <v>106</v>
      </c>
    </row>
    <row r="3" ht="22.5" customHeight="1">
      <c r="A3" s="4">
        <v>46020.63489215278</v>
      </c>
      <c r="B3" s="5" t="s">
        <v>57</v>
      </c>
      <c r="C3" s="5" t="s">
        <v>58</v>
      </c>
      <c r="D3" s="5" t="s">
        <v>58</v>
      </c>
      <c r="E3" s="5" t="s">
        <v>59</v>
      </c>
      <c r="F3" s="5" t="s">
        <v>60</v>
      </c>
      <c r="G3" s="5" t="s">
        <v>61</v>
      </c>
      <c r="H3" s="5" t="s">
        <v>60</v>
      </c>
      <c r="I3" s="5" t="s">
        <v>60</v>
      </c>
      <c r="J3" s="5" t="s">
        <v>62</v>
      </c>
      <c r="K3" s="5" t="s">
        <v>63</v>
      </c>
      <c r="L3" s="5" t="s">
        <v>64</v>
      </c>
      <c r="M3" s="5" t="s">
        <v>65</v>
      </c>
      <c r="N3" s="5" t="s">
        <v>58</v>
      </c>
      <c r="O3" s="5" t="s">
        <v>58</v>
      </c>
      <c r="P3" s="5" t="s">
        <v>58</v>
      </c>
      <c r="Q3" s="5" t="s">
        <v>58</v>
      </c>
      <c r="R3" s="5" t="s">
        <v>58</v>
      </c>
      <c r="S3" s="5" t="s">
        <v>66</v>
      </c>
      <c r="T3" s="5" t="s">
        <v>58</v>
      </c>
      <c r="U3" s="5" t="s">
        <v>58</v>
      </c>
      <c r="V3" s="5" t="s">
        <v>67</v>
      </c>
      <c r="W3" s="5" t="s">
        <v>58</v>
      </c>
      <c r="X3" s="5" t="s">
        <v>66</v>
      </c>
      <c r="Y3" s="5" t="s">
        <v>58</v>
      </c>
      <c r="Z3" s="5" t="s">
        <v>58</v>
      </c>
      <c r="AA3" s="5" t="s">
        <v>58</v>
      </c>
      <c r="AB3" s="5" t="s">
        <v>58</v>
      </c>
      <c r="AC3" s="5" t="s">
        <v>66</v>
      </c>
      <c r="AD3" s="5" t="s">
        <v>58</v>
      </c>
      <c r="AE3" s="5" t="s">
        <v>58</v>
      </c>
      <c r="AF3" s="5" t="s">
        <v>58</v>
      </c>
      <c r="AG3" s="5" t="s">
        <v>58</v>
      </c>
      <c r="AH3" s="5" t="s">
        <v>58</v>
      </c>
      <c r="AI3" s="5" t="s">
        <v>77</v>
      </c>
      <c r="AJ3" s="5" t="s">
        <v>69</v>
      </c>
      <c r="AK3" s="5" t="s">
        <v>69</v>
      </c>
      <c r="AL3" s="5">
        <v>5.0</v>
      </c>
      <c r="AM3" s="5">
        <v>5.0</v>
      </c>
      <c r="AN3" s="5">
        <v>1.0</v>
      </c>
      <c r="AO3" s="5">
        <v>2.0</v>
      </c>
      <c r="AP3" s="5">
        <v>4.0</v>
      </c>
      <c r="AQ3" s="5">
        <v>5.0</v>
      </c>
      <c r="AR3" s="5">
        <v>4.0</v>
      </c>
      <c r="AS3" s="5">
        <v>5.0</v>
      </c>
      <c r="AT3" s="5">
        <v>1.0</v>
      </c>
      <c r="AU3" s="5">
        <v>5.0</v>
      </c>
      <c r="AV3" s="5">
        <v>2.0</v>
      </c>
      <c r="AW3" s="5">
        <v>5.0</v>
      </c>
      <c r="AX3" s="5">
        <v>1.0</v>
      </c>
      <c r="AY3" s="5">
        <v>5.0</v>
      </c>
      <c r="AZ3" s="5">
        <v>1.0</v>
      </c>
      <c r="BA3" s="5">
        <v>5.0</v>
      </c>
      <c r="BB3" s="5" t="s">
        <v>74</v>
      </c>
      <c r="BC3" s="5">
        <v>1.0</v>
      </c>
      <c r="BD3" s="5">
        <v>7.0</v>
      </c>
      <c r="BE3" s="5" t="s">
        <v>107</v>
      </c>
    </row>
    <row r="4" ht="22.5" customHeight="1">
      <c r="A4" s="4">
        <v>46020.67489571759</v>
      </c>
      <c r="B4" s="5" t="s">
        <v>57</v>
      </c>
      <c r="C4" s="5" t="s">
        <v>58</v>
      </c>
      <c r="D4" s="5" t="s">
        <v>58</v>
      </c>
      <c r="E4" s="5" t="s">
        <v>59</v>
      </c>
      <c r="F4" s="5" t="s">
        <v>60</v>
      </c>
      <c r="G4" s="5" t="s">
        <v>61</v>
      </c>
      <c r="H4" s="5" t="s">
        <v>60</v>
      </c>
      <c r="I4" s="5" t="s">
        <v>60</v>
      </c>
      <c r="J4" s="5" t="s">
        <v>62</v>
      </c>
      <c r="K4" s="5" t="s">
        <v>63</v>
      </c>
      <c r="L4" s="5" t="s">
        <v>64</v>
      </c>
      <c r="M4" s="5" t="s">
        <v>65</v>
      </c>
      <c r="N4" s="5" t="s">
        <v>67</v>
      </c>
      <c r="O4" s="5" t="s">
        <v>67</v>
      </c>
      <c r="P4" s="5" t="s">
        <v>67</v>
      </c>
      <c r="Q4" s="5" t="s">
        <v>67</v>
      </c>
      <c r="R4" s="5" t="s">
        <v>67</v>
      </c>
      <c r="S4" s="5" t="s">
        <v>66</v>
      </c>
      <c r="T4" s="5" t="s">
        <v>67</v>
      </c>
      <c r="U4" s="5" t="s">
        <v>67</v>
      </c>
      <c r="V4" s="5" t="s">
        <v>67</v>
      </c>
      <c r="W4" s="5" t="s">
        <v>67</v>
      </c>
      <c r="X4" s="5" t="s">
        <v>66</v>
      </c>
      <c r="Y4" s="5" t="s">
        <v>67</v>
      </c>
      <c r="Z4" s="5" t="s">
        <v>67</v>
      </c>
      <c r="AA4" s="5" t="s">
        <v>67</v>
      </c>
      <c r="AB4" s="5" t="s">
        <v>67</v>
      </c>
      <c r="AC4" s="5" t="s">
        <v>66</v>
      </c>
      <c r="AD4" s="5" t="s">
        <v>67</v>
      </c>
      <c r="AE4" s="5" t="s">
        <v>67</v>
      </c>
      <c r="AF4" s="5" t="s">
        <v>58</v>
      </c>
      <c r="AG4" s="5" t="s">
        <v>67</v>
      </c>
      <c r="AH4" s="5" t="s">
        <v>67</v>
      </c>
      <c r="AI4" s="5" t="s">
        <v>72</v>
      </c>
      <c r="AJ4" s="5" t="s">
        <v>73</v>
      </c>
      <c r="AK4" s="5" t="s">
        <v>73</v>
      </c>
      <c r="AL4" s="5">
        <v>4.0</v>
      </c>
      <c r="AM4" s="5">
        <v>4.0</v>
      </c>
      <c r="AN4" s="5">
        <v>1.0</v>
      </c>
      <c r="AO4" s="5">
        <v>1.0</v>
      </c>
      <c r="AP4" s="5">
        <v>5.0</v>
      </c>
      <c r="AQ4" s="5">
        <v>4.0</v>
      </c>
      <c r="AR4" s="5">
        <v>1.0</v>
      </c>
      <c r="AS4" s="5">
        <v>5.0</v>
      </c>
      <c r="AT4" s="5">
        <v>1.0</v>
      </c>
      <c r="AU4" s="5">
        <v>3.0</v>
      </c>
      <c r="AV4" s="5">
        <v>3.0</v>
      </c>
      <c r="AW4" s="5">
        <v>4.0</v>
      </c>
      <c r="AX4" s="5">
        <v>3.0</v>
      </c>
      <c r="AY4" s="5">
        <v>3.0</v>
      </c>
      <c r="AZ4" s="5">
        <v>2.0</v>
      </c>
      <c r="BA4" s="5">
        <v>1.0</v>
      </c>
      <c r="BB4" s="5" t="s">
        <v>70</v>
      </c>
      <c r="BC4" s="5">
        <v>4.0</v>
      </c>
      <c r="BD4" s="5">
        <v>6.0</v>
      </c>
      <c r="BE4" s="5" t="s">
        <v>108</v>
      </c>
    </row>
    <row r="5" ht="22.5" customHeight="1">
      <c r="A5" s="4">
        <v>46020.70976729167</v>
      </c>
      <c r="B5" s="5" t="s">
        <v>57</v>
      </c>
      <c r="C5" s="5" t="s">
        <v>58</v>
      </c>
      <c r="D5" s="5" t="s">
        <v>58</v>
      </c>
      <c r="E5" s="5" t="s">
        <v>59</v>
      </c>
      <c r="F5" s="5" t="s">
        <v>60</v>
      </c>
      <c r="G5" s="5" t="s">
        <v>61</v>
      </c>
      <c r="H5" s="5" t="s">
        <v>60</v>
      </c>
      <c r="I5" s="5" t="s">
        <v>60</v>
      </c>
      <c r="J5" s="5" t="s">
        <v>62</v>
      </c>
      <c r="K5" s="5" t="s">
        <v>63</v>
      </c>
      <c r="L5" s="5" t="s">
        <v>64</v>
      </c>
      <c r="M5" s="5" t="s">
        <v>65</v>
      </c>
      <c r="N5" s="5" t="s">
        <v>58</v>
      </c>
      <c r="O5" s="5" t="s">
        <v>67</v>
      </c>
      <c r="P5" s="5" t="s">
        <v>67</v>
      </c>
      <c r="Q5" s="5" t="s">
        <v>58</v>
      </c>
      <c r="R5" s="5" t="s">
        <v>67</v>
      </c>
      <c r="S5" s="5" t="s">
        <v>66</v>
      </c>
      <c r="T5" s="5" t="s">
        <v>58</v>
      </c>
      <c r="U5" s="5" t="s">
        <v>58</v>
      </c>
      <c r="V5" s="5" t="s">
        <v>67</v>
      </c>
      <c r="W5" s="5" t="s">
        <v>58</v>
      </c>
      <c r="X5" s="5" t="s">
        <v>66</v>
      </c>
      <c r="Y5" s="5" t="s">
        <v>58</v>
      </c>
      <c r="Z5" s="5" t="s">
        <v>67</v>
      </c>
      <c r="AA5" s="5" t="s">
        <v>58</v>
      </c>
      <c r="AB5" s="5" t="s">
        <v>58</v>
      </c>
      <c r="AC5" s="5" t="s">
        <v>66</v>
      </c>
      <c r="AD5" s="5" t="s">
        <v>67</v>
      </c>
      <c r="AE5" s="5" t="s">
        <v>67</v>
      </c>
      <c r="AF5" s="5" t="s">
        <v>58</v>
      </c>
      <c r="AG5" s="5" t="s">
        <v>67</v>
      </c>
      <c r="AH5" s="5" t="s">
        <v>58</v>
      </c>
      <c r="AI5" s="5" t="s">
        <v>68</v>
      </c>
      <c r="AJ5" s="5" t="s">
        <v>68</v>
      </c>
      <c r="AK5" s="5" t="s">
        <v>73</v>
      </c>
      <c r="AL5" s="5">
        <v>3.0</v>
      </c>
      <c r="AM5" s="5">
        <v>3.0</v>
      </c>
      <c r="AN5" s="5">
        <v>3.0</v>
      </c>
      <c r="AO5" s="5">
        <v>3.0</v>
      </c>
      <c r="AP5" s="5">
        <v>3.0</v>
      </c>
      <c r="AQ5" s="5">
        <v>4.0</v>
      </c>
      <c r="AR5" s="5">
        <v>2.0</v>
      </c>
      <c r="AS5" s="5">
        <v>4.0</v>
      </c>
      <c r="AT5" s="5">
        <v>2.0</v>
      </c>
      <c r="AU5" s="5">
        <v>4.0</v>
      </c>
      <c r="AV5" s="5">
        <v>3.0</v>
      </c>
      <c r="AW5" s="5">
        <v>4.0</v>
      </c>
      <c r="AX5" s="5">
        <v>2.0</v>
      </c>
      <c r="AY5" s="5">
        <v>4.0</v>
      </c>
      <c r="AZ5" s="5">
        <v>2.0</v>
      </c>
      <c r="BA5" s="5">
        <v>4.0</v>
      </c>
      <c r="BB5" s="5" t="s">
        <v>70</v>
      </c>
      <c r="BC5" s="5">
        <v>3.0</v>
      </c>
      <c r="BD5" s="5">
        <v>5.0</v>
      </c>
      <c r="BE5" s="5" t="s">
        <v>109</v>
      </c>
    </row>
    <row r="6" ht="22.5" customHeight="1">
      <c r="A6" s="4">
        <v>46020.75415748842</v>
      </c>
      <c r="B6" s="5" t="s">
        <v>57</v>
      </c>
      <c r="C6" s="5" t="s">
        <v>58</v>
      </c>
      <c r="D6" s="5" t="s">
        <v>58</v>
      </c>
      <c r="E6" s="5" t="s">
        <v>59</v>
      </c>
      <c r="F6" s="5" t="s">
        <v>60</v>
      </c>
      <c r="G6" s="5" t="s">
        <v>61</v>
      </c>
      <c r="H6" s="5" t="s">
        <v>60</v>
      </c>
      <c r="I6" s="5" t="s">
        <v>60</v>
      </c>
      <c r="J6" s="5" t="s">
        <v>62</v>
      </c>
      <c r="K6" s="5" t="s">
        <v>63</v>
      </c>
      <c r="L6" s="5" t="s">
        <v>64</v>
      </c>
      <c r="M6" s="5" t="s">
        <v>65</v>
      </c>
      <c r="N6" s="5" t="s">
        <v>67</v>
      </c>
      <c r="O6" s="5" t="s">
        <v>67</v>
      </c>
      <c r="P6" s="5" t="s">
        <v>67</v>
      </c>
      <c r="Q6" s="5" t="s">
        <v>58</v>
      </c>
      <c r="R6" s="5" t="s">
        <v>67</v>
      </c>
      <c r="S6" s="5" t="s">
        <v>66</v>
      </c>
      <c r="T6" s="5" t="s">
        <v>67</v>
      </c>
      <c r="U6" s="5" t="s">
        <v>67</v>
      </c>
      <c r="V6" s="5" t="s">
        <v>58</v>
      </c>
      <c r="W6" s="5" t="s">
        <v>67</v>
      </c>
      <c r="X6" s="5" t="s">
        <v>66</v>
      </c>
      <c r="Y6" s="5" t="s">
        <v>67</v>
      </c>
      <c r="Z6" s="5" t="s">
        <v>67</v>
      </c>
      <c r="AA6" s="5" t="s">
        <v>67</v>
      </c>
      <c r="AB6" s="5" t="s">
        <v>67</v>
      </c>
      <c r="AC6" s="5" t="s">
        <v>66</v>
      </c>
      <c r="AD6" s="5" t="s">
        <v>67</v>
      </c>
      <c r="AE6" s="5" t="s">
        <v>67</v>
      </c>
      <c r="AF6" s="5" t="s">
        <v>67</v>
      </c>
      <c r="AG6" s="5" t="s">
        <v>67</v>
      </c>
      <c r="AH6" s="5" t="s">
        <v>67</v>
      </c>
      <c r="AI6" s="5" t="s">
        <v>72</v>
      </c>
      <c r="AJ6" s="5" t="s">
        <v>73</v>
      </c>
      <c r="AK6" s="5" t="s">
        <v>73</v>
      </c>
      <c r="AL6" s="5">
        <v>4.0</v>
      </c>
      <c r="AM6" s="5">
        <v>4.0</v>
      </c>
      <c r="AN6" s="5">
        <v>2.0</v>
      </c>
      <c r="AO6" s="5">
        <v>1.0</v>
      </c>
      <c r="AP6" s="5">
        <v>5.0</v>
      </c>
      <c r="AQ6" s="5">
        <v>5.0</v>
      </c>
      <c r="AR6" s="5">
        <v>1.0</v>
      </c>
      <c r="AS6" s="5">
        <v>5.0</v>
      </c>
      <c r="AT6" s="5">
        <v>1.0</v>
      </c>
      <c r="AU6" s="5">
        <v>4.0</v>
      </c>
      <c r="AV6" s="5">
        <v>1.0</v>
      </c>
      <c r="AW6" s="5">
        <v>4.0</v>
      </c>
      <c r="AX6" s="5">
        <v>1.0</v>
      </c>
      <c r="AY6" s="5">
        <v>5.0</v>
      </c>
      <c r="AZ6" s="5">
        <v>1.0</v>
      </c>
      <c r="BA6" s="5">
        <v>5.0</v>
      </c>
      <c r="BB6" s="5" t="s">
        <v>70</v>
      </c>
      <c r="BC6" s="5">
        <v>4.0</v>
      </c>
      <c r="BD6" s="5">
        <v>6.0</v>
      </c>
      <c r="BE6" s="5" t="s">
        <v>110</v>
      </c>
    </row>
    <row r="7" ht="22.5" customHeight="1">
      <c r="A7" s="4">
        <v>46020.75988511574</v>
      </c>
      <c r="B7" s="5" t="s">
        <v>57</v>
      </c>
      <c r="C7" s="5" t="s">
        <v>58</v>
      </c>
      <c r="D7" s="5" t="s">
        <v>58</v>
      </c>
      <c r="E7" s="5" t="s">
        <v>59</v>
      </c>
      <c r="F7" s="5" t="s">
        <v>60</v>
      </c>
      <c r="G7" s="5" t="s">
        <v>61</v>
      </c>
      <c r="H7" s="5" t="s">
        <v>60</v>
      </c>
      <c r="I7" s="5" t="s">
        <v>60</v>
      </c>
      <c r="J7" s="5" t="s">
        <v>62</v>
      </c>
      <c r="K7" s="5" t="s">
        <v>63</v>
      </c>
      <c r="L7" s="5" t="s">
        <v>64</v>
      </c>
      <c r="M7" s="5" t="s">
        <v>65</v>
      </c>
      <c r="N7" s="5" t="s">
        <v>58</v>
      </c>
      <c r="O7" s="5" t="s">
        <v>58</v>
      </c>
      <c r="P7" s="5" t="s">
        <v>58</v>
      </c>
      <c r="Q7" s="5" t="s">
        <v>58</v>
      </c>
      <c r="R7" s="5" t="s">
        <v>58</v>
      </c>
      <c r="S7" s="5" t="s">
        <v>66</v>
      </c>
      <c r="T7" s="5" t="s">
        <v>58</v>
      </c>
      <c r="U7" s="5" t="s">
        <v>58</v>
      </c>
      <c r="V7" s="5" t="s">
        <v>58</v>
      </c>
      <c r="W7" s="5" t="s">
        <v>58</v>
      </c>
      <c r="X7" s="5" t="s">
        <v>66</v>
      </c>
      <c r="Y7" s="5" t="s">
        <v>58</v>
      </c>
      <c r="Z7" s="5" t="s">
        <v>58</v>
      </c>
      <c r="AA7" s="5" t="s">
        <v>58</v>
      </c>
      <c r="AB7" s="5" t="s">
        <v>58</v>
      </c>
      <c r="AC7" s="5" t="s">
        <v>66</v>
      </c>
      <c r="AD7" s="5" t="s">
        <v>58</v>
      </c>
      <c r="AE7" s="5" t="s">
        <v>58</v>
      </c>
      <c r="AF7" s="5" t="s">
        <v>58</v>
      </c>
      <c r="AG7" s="5" t="s">
        <v>58</v>
      </c>
      <c r="AH7" s="5" t="s">
        <v>58</v>
      </c>
      <c r="AI7" s="5" t="s">
        <v>77</v>
      </c>
      <c r="AJ7" s="5" t="s">
        <v>69</v>
      </c>
      <c r="AK7" s="5" t="s">
        <v>69</v>
      </c>
      <c r="AL7" s="5">
        <v>4.0</v>
      </c>
      <c r="AM7" s="5">
        <v>3.0</v>
      </c>
      <c r="AN7" s="5">
        <v>1.0</v>
      </c>
      <c r="AO7" s="5">
        <v>2.0</v>
      </c>
      <c r="AP7" s="5">
        <v>4.0</v>
      </c>
      <c r="AQ7" s="5">
        <v>4.0</v>
      </c>
      <c r="AR7" s="5">
        <v>3.0</v>
      </c>
      <c r="AS7" s="5">
        <v>5.0</v>
      </c>
      <c r="AT7" s="5">
        <v>2.0</v>
      </c>
      <c r="AU7" s="5">
        <v>5.0</v>
      </c>
      <c r="AV7" s="5">
        <v>3.0</v>
      </c>
      <c r="AW7" s="5">
        <v>5.0</v>
      </c>
      <c r="AX7" s="5">
        <v>2.0</v>
      </c>
      <c r="AY7" s="5">
        <v>5.0</v>
      </c>
      <c r="AZ7" s="5">
        <v>1.0</v>
      </c>
      <c r="BA7" s="5">
        <v>3.0</v>
      </c>
      <c r="BB7" s="5" t="s">
        <v>74</v>
      </c>
      <c r="BC7" s="5">
        <v>3.0</v>
      </c>
      <c r="BD7" s="5">
        <v>6.0</v>
      </c>
      <c r="BE7" s="5" t="s">
        <v>111</v>
      </c>
    </row>
    <row r="8" ht="22.5" customHeight="1">
      <c r="A8" s="4">
        <v>46020.934993229166</v>
      </c>
      <c r="B8" s="5" t="s">
        <v>57</v>
      </c>
      <c r="C8" s="5" t="s">
        <v>58</v>
      </c>
      <c r="D8" s="5" t="s">
        <v>58</v>
      </c>
      <c r="E8" s="5" t="s">
        <v>59</v>
      </c>
      <c r="F8" s="5" t="s">
        <v>60</v>
      </c>
      <c r="G8" s="5" t="s">
        <v>61</v>
      </c>
      <c r="H8" s="5" t="s">
        <v>60</v>
      </c>
      <c r="I8" s="5" t="s">
        <v>60</v>
      </c>
      <c r="J8" s="5" t="s">
        <v>62</v>
      </c>
      <c r="K8" s="5" t="s">
        <v>63</v>
      </c>
      <c r="L8" s="5" t="s">
        <v>64</v>
      </c>
      <c r="M8" s="5" t="s">
        <v>65</v>
      </c>
      <c r="N8" s="5" t="s">
        <v>67</v>
      </c>
      <c r="O8" s="5" t="s">
        <v>58</v>
      </c>
      <c r="P8" s="5" t="s">
        <v>67</v>
      </c>
      <c r="Q8" s="5" t="s">
        <v>58</v>
      </c>
      <c r="R8" s="5" t="s">
        <v>67</v>
      </c>
      <c r="S8" s="5" t="s">
        <v>66</v>
      </c>
      <c r="T8" s="5" t="s">
        <v>58</v>
      </c>
      <c r="U8" s="5" t="s">
        <v>58</v>
      </c>
      <c r="V8" s="5" t="s">
        <v>58</v>
      </c>
      <c r="W8" s="5" t="s">
        <v>67</v>
      </c>
      <c r="X8" s="5" t="s">
        <v>66</v>
      </c>
      <c r="Y8" s="5" t="s">
        <v>58</v>
      </c>
      <c r="Z8" s="5" t="s">
        <v>58</v>
      </c>
      <c r="AA8" s="5" t="s">
        <v>58</v>
      </c>
      <c r="AB8" s="5" t="s">
        <v>67</v>
      </c>
      <c r="AC8" s="5" t="s">
        <v>66</v>
      </c>
      <c r="AD8" s="5" t="s">
        <v>58</v>
      </c>
      <c r="AE8" s="5" t="s">
        <v>58</v>
      </c>
      <c r="AF8" s="5" t="s">
        <v>58</v>
      </c>
      <c r="AG8" s="5" t="s">
        <v>67</v>
      </c>
      <c r="AH8" s="5" t="s">
        <v>58</v>
      </c>
      <c r="AI8" s="5" t="s">
        <v>72</v>
      </c>
      <c r="AJ8" s="5" t="s">
        <v>69</v>
      </c>
      <c r="AK8" s="5" t="s">
        <v>73</v>
      </c>
      <c r="AL8" s="5">
        <v>3.0</v>
      </c>
      <c r="AM8" s="5">
        <v>3.0</v>
      </c>
      <c r="AN8" s="5">
        <v>2.0</v>
      </c>
      <c r="AO8" s="5">
        <v>1.0</v>
      </c>
      <c r="AP8" s="5">
        <v>3.0</v>
      </c>
      <c r="AQ8" s="5">
        <v>4.0</v>
      </c>
      <c r="AR8" s="5">
        <v>2.0</v>
      </c>
      <c r="AS8" s="5">
        <v>2.0</v>
      </c>
      <c r="AT8" s="5">
        <v>3.0</v>
      </c>
      <c r="AU8" s="5">
        <v>2.0</v>
      </c>
      <c r="AV8" s="5">
        <v>4.0</v>
      </c>
      <c r="AW8" s="5">
        <v>4.0</v>
      </c>
      <c r="AX8" s="5">
        <v>5.0</v>
      </c>
      <c r="AY8" s="5">
        <v>4.0</v>
      </c>
      <c r="AZ8" s="5">
        <v>2.0</v>
      </c>
      <c r="BA8" s="5">
        <v>1.0</v>
      </c>
      <c r="BB8" s="5" t="s">
        <v>70</v>
      </c>
      <c r="BC8" s="5">
        <v>3.0</v>
      </c>
      <c r="BD8" s="5">
        <v>4.0</v>
      </c>
      <c r="BE8" s="5" t="s">
        <v>112</v>
      </c>
    </row>
    <row r="9" ht="22.5" customHeight="1">
      <c r="A9" s="4">
        <v>46021.006998321755</v>
      </c>
      <c r="B9" s="5" t="s">
        <v>57</v>
      </c>
      <c r="C9" s="5" t="s">
        <v>58</v>
      </c>
      <c r="D9" s="5" t="s">
        <v>58</v>
      </c>
      <c r="E9" s="5" t="s">
        <v>59</v>
      </c>
      <c r="F9" s="5" t="s">
        <v>60</v>
      </c>
      <c r="G9" s="5" t="s">
        <v>61</v>
      </c>
      <c r="H9" s="5" t="s">
        <v>60</v>
      </c>
      <c r="I9" s="5" t="s">
        <v>60</v>
      </c>
      <c r="J9" s="5" t="s">
        <v>62</v>
      </c>
      <c r="K9" s="5" t="s">
        <v>63</v>
      </c>
      <c r="L9" s="5" t="s">
        <v>64</v>
      </c>
      <c r="M9" s="5" t="s">
        <v>65</v>
      </c>
      <c r="N9" s="5" t="s">
        <v>58</v>
      </c>
      <c r="O9" s="5" t="s">
        <v>58</v>
      </c>
      <c r="P9" s="5" t="s">
        <v>58</v>
      </c>
      <c r="Q9" s="5" t="s">
        <v>58</v>
      </c>
      <c r="R9" s="5" t="s">
        <v>67</v>
      </c>
      <c r="S9" s="5" t="s">
        <v>66</v>
      </c>
      <c r="T9" s="5" t="s">
        <v>58</v>
      </c>
      <c r="U9" s="5" t="s">
        <v>58</v>
      </c>
      <c r="V9" s="5" t="s">
        <v>58</v>
      </c>
      <c r="W9" s="5" t="s">
        <v>58</v>
      </c>
      <c r="X9" s="5" t="s">
        <v>66</v>
      </c>
      <c r="Y9" s="5" t="s">
        <v>58</v>
      </c>
      <c r="Z9" s="5" t="s">
        <v>67</v>
      </c>
      <c r="AA9" s="5" t="s">
        <v>58</v>
      </c>
      <c r="AB9" s="5" t="s">
        <v>58</v>
      </c>
      <c r="AC9" s="5" t="s">
        <v>66</v>
      </c>
      <c r="AD9" s="5" t="s">
        <v>67</v>
      </c>
      <c r="AE9" s="5" t="s">
        <v>58</v>
      </c>
      <c r="AF9" s="5" t="s">
        <v>67</v>
      </c>
      <c r="AG9" s="5" t="s">
        <v>58</v>
      </c>
      <c r="AH9" s="5" t="s">
        <v>58</v>
      </c>
      <c r="AI9" s="5" t="s">
        <v>68</v>
      </c>
      <c r="AJ9" s="5" t="s">
        <v>69</v>
      </c>
      <c r="AK9" s="5" t="s">
        <v>69</v>
      </c>
      <c r="AL9" s="5">
        <v>4.0</v>
      </c>
      <c r="AM9" s="5">
        <v>3.0</v>
      </c>
      <c r="AN9" s="5">
        <v>1.0</v>
      </c>
      <c r="AO9" s="5">
        <v>2.0</v>
      </c>
      <c r="AP9" s="5">
        <v>5.0</v>
      </c>
      <c r="AQ9" s="5">
        <v>4.0</v>
      </c>
      <c r="AR9" s="5">
        <v>4.0</v>
      </c>
      <c r="AS9" s="5">
        <v>2.0</v>
      </c>
      <c r="AT9" s="5">
        <v>3.0</v>
      </c>
      <c r="AU9" s="5">
        <v>4.0</v>
      </c>
      <c r="AV9" s="5">
        <v>5.0</v>
      </c>
      <c r="AW9" s="5">
        <v>4.0</v>
      </c>
      <c r="AX9" s="5">
        <v>3.0</v>
      </c>
      <c r="AY9" s="5">
        <v>2.0</v>
      </c>
      <c r="AZ9" s="5">
        <v>2.0</v>
      </c>
      <c r="BA9" s="5">
        <v>3.0</v>
      </c>
      <c r="BB9" s="5" t="s">
        <v>74</v>
      </c>
      <c r="BC9" s="5">
        <v>5.0</v>
      </c>
      <c r="BD9" s="5">
        <v>6.0</v>
      </c>
      <c r="BE9" s="5" t="s">
        <v>113</v>
      </c>
    </row>
    <row r="10" ht="22.5" customHeight="1">
      <c r="A10" s="4">
        <v>46021.17321434028</v>
      </c>
      <c r="B10" s="5" t="s">
        <v>57</v>
      </c>
      <c r="C10" s="5" t="s">
        <v>58</v>
      </c>
      <c r="D10" s="5" t="s">
        <v>58</v>
      </c>
      <c r="E10" s="5" t="s">
        <v>59</v>
      </c>
      <c r="F10" s="5" t="s">
        <v>60</v>
      </c>
      <c r="G10" s="5" t="s">
        <v>61</v>
      </c>
      <c r="H10" s="5" t="s">
        <v>60</v>
      </c>
      <c r="I10" s="5" t="s">
        <v>60</v>
      </c>
      <c r="J10" s="5" t="s">
        <v>62</v>
      </c>
      <c r="K10" s="5" t="s">
        <v>63</v>
      </c>
      <c r="L10" s="5" t="s">
        <v>64</v>
      </c>
      <c r="M10" s="5" t="s">
        <v>65</v>
      </c>
      <c r="N10" s="5" t="s">
        <v>67</v>
      </c>
      <c r="O10" s="5" t="s">
        <v>58</v>
      </c>
      <c r="P10" s="5" t="s">
        <v>67</v>
      </c>
      <c r="Q10" s="5" t="s">
        <v>58</v>
      </c>
      <c r="R10" s="5" t="s">
        <v>67</v>
      </c>
      <c r="S10" s="5" t="s">
        <v>66</v>
      </c>
      <c r="T10" s="5" t="s">
        <v>58</v>
      </c>
      <c r="U10" s="5" t="s">
        <v>67</v>
      </c>
      <c r="V10" s="5" t="s">
        <v>58</v>
      </c>
      <c r="W10" s="5" t="s">
        <v>67</v>
      </c>
      <c r="X10" s="5" t="s">
        <v>66</v>
      </c>
      <c r="Y10" s="5" t="s">
        <v>58</v>
      </c>
      <c r="Z10" s="5" t="s">
        <v>58</v>
      </c>
      <c r="AA10" s="5" t="s">
        <v>58</v>
      </c>
      <c r="AB10" s="5" t="s">
        <v>67</v>
      </c>
      <c r="AC10" s="5" t="s">
        <v>66</v>
      </c>
      <c r="AD10" s="5" t="s">
        <v>58</v>
      </c>
      <c r="AE10" s="5" t="s">
        <v>67</v>
      </c>
      <c r="AF10" s="5" t="s">
        <v>58</v>
      </c>
      <c r="AG10" s="5" t="s">
        <v>58</v>
      </c>
      <c r="AH10" s="5" t="s">
        <v>58</v>
      </c>
      <c r="AI10" s="5" t="s">
        <v>77</v>
      </c>
      <c r="AJ10" s="5" t="s">
        <v>69</v>
      </c>
      <c r="AK10" s="5" t="s">
        <v>73</v>
      </c>
      <c r="AL10" s="5">
        <v>4.0</v>
      </c>
      <c r="AM10" s="5">
        <v>4.0</v>
      </c>
      <c r="AN10" s="5">
        <v>2.0</v>
      </c>
      <c r="AO10" s="5">
        <v>1.0</v>
      </c>
      <c r="AP10" s="5">
        <v>3.0</v>
      </c>
      <c r="AQ10" s="5">
        <v>4.0</v>
      </c>
      <c r="AR10" s="5">
        <v>1.0</v>
      </c>
      <c r="AS10" s="5">
        <v>4.0</v>
      </c>
      <c r="AT10" s="5">
        <v>1.0</v>
      </c>
      <c r="AU10" s="5">
        <v>5.0</v>
      </c>
      <c r="AV10" s="5">
        <v>5.0</v>
      </c>
      <c r="AW10" s="5">
        <v>5.0</v>
      </c>
      <c r="AX10" s="5">
        <v>4.0</v>
      </c>
      <c r="AY10" s="5">
        <v>3.0</v>
      </c>
      <c r="AZ10" s="5">
        <v>1.0</v>
      </c>
      <c r="BA10" s="5">
        <v>3.0</v>
      </c>
      <c r="BB10" s="5" t="s">
        <v>70</v>
      </c>
      <c r="BC10" s="5">
        <v>3.0</v>
      </c>
      <c r="BD10" s="5">
        <v>7.0</v>
      </c>
      <c r="BE10" s="5" t="s">
        <v>114</v>
      </c>
    </row>
    <row r="11" ht="22.5" customHeight="1">
      <c r="A11" s="6">
        <v>46022.68340201389</v>
      </c>
      <c r="B11" s="7" t="s">
        <v>57</v>
      </c>
      <c r="C11" s="7" t="s">
        <v>58</v>
      </c>
      <c r="D11" s="7" t="s">
        <v>58</v>
      </c>
      <c r="E11" s="7" t="s">
        <v>59</v>
      </c>
      <c r="F11" s="7" t="s">
        <v>60</v>
      </c>
      <c r="G11" s="7" t="s">
        <v>61</v>
      </c>
      <c r="H11" s="7" t="s">
        <v>60</v>
      </c>
      <c r="I11" s="7" t="s">
        <v>60</v>
      </c>
      <c r="J11" s="7" t="s">
        <v>62</v>
      </c>
      <c r="K11" s="7" t="s">
        <v>63</v>
      </c>
      <c r="L11" s="7" t="s">
        <v>64</v>
      </c>
      <c r="M11" s="7" t="s">
        <v>65</v>
      </c>
      <c r="N11" s="7" t="s">
        <v>67</v>
      </c>
      <c r="O11" s="7" t="s">
        <v>58</v>
      </c>
      <c r="P11" s="7" t="s">
        <v>67</v>
      </c>
      <c r="Q11" s="7" t="s">
        <v>67</v>
      </c>
      <c r="R11" s="7" t="s">
        <v>58</v>
      </c>
      <c r="S11" s="7" t="s">
        <v>66</v>
      </c>
      <c r="T11" s="7" t="s">
        <v>67</v>
      </c>
      <c r="U11" s="7" t="s">
        <v>67</v>
      </c>
      <c r="V11" s="7" t="s">
        <v>58</v>
      </c>
      <c r="W11" s="7" t="s">
        <v>58</v>
      </c>
      <c r="X11" s="7" t="s">
        <v>66</v>
      </c>
      <c r="Y11" s="7" t="s">
        <v>67</v>
      </c>
      <c r="Z11" s="7" t="s">
        <v>58</v>
      </c>
      <c r="AA11" s="7" t="s">
        <v>67</v>
      </c>
      <c r="AB11" s="7" t="s">
        <v>58</v>
      </c>
      <c r="AC11" s="7" t="s">
        <v>66</v>
      </c>
      <c r="AD11" s="7" t="s">
        <v>67</v>
      </c>
      <c r="AE11" s="7" t="s">
        <v>58</v>
      </c>
      <c r="AF11" s="7" t="s">
        <v>58</v>
      </c>
      <c r="AG11" s="7" t="s">
        <v>67</v>
      </c>
      <c r="AH11" s="7" t="s">
        <v>67</v>
      </c>
      <c r="AI11" s="7" t="s">
        <v>77</v>
      </c>
      <c r="AJ11" s="7" t="s">
        <v>73</v>
      </c>
      <c r="AK11" s="7" t="s">
        <v>68</v>
      </c>
      <c r="AL11" s="7">
        <v>4.0</v>
      </c>
      <c r="AM11" s="7">
        <v>4.0</v>
      </c>
      <c r="AN11" s="7">
        <v>2.0</v>
      </c>
      <c r="AO11" s="7">
        <v>2.0</v>
      </c>
      <c r="AP11" s="7">
        <v>4.0</v>
      </c>
      <c r="AQ11" s="7">
        <v>2.0</v>
      </c>
      <c r="AR11" s="7">
        <v>2.0</v>
      </c>
      <c r="AS11" s="7">
        <v>2.0</v>
      </c>
      <c r="AT11" s="7">
        <v>2.0</v>
      </c>
      <c r="AU11" s="7">
        <v>3.0</v>
      </c>
      <c r="AV11" s="7">
        <v>3.0</v>
      </c>
      <c r="AW11" s="7">
        <v>4.0</v>
      </c>
      <c r="AX11" s="7">
        <v>3.0</v>
      </c>
      <c r="AY11" s="7">
        <v>4.0</v>
      </c>
      <c r="AZ11" s="7">
        <v>3.0</v>
      </c>
      <c r="BA11" s="7">
        <v>3.0</v>
      </c>
      <c r="BB11" s="7" t="s">
        <v>70</v>
      </c>
      <c r="BC11" s="7">
        <v>4.0</v>
      </c>
      <c r="BD11" s="7">
        <v>5.0</v>
      </c>
      <c r="BE11" s="7" t="s">
        <v>115</v>
      </c>
    </row>
    <row r="12" ht="22.5" customHeight="1">
      <c r="A12" s="6">
        <v>46022.90865265046</v>
      </c>
      <c r="B12" s="7" t="s">
        <v>57</v>
      </c>
      <c r="C12" s="7" t="s">
        <v>58</v>
      </c>
      <c r="D12" s="7" t="s">
        <v>58</v>
      </c>
      <c r="E12" s="7" t="s">
        <v>59</v>
      </c>
      <c r="F12" s="7" t="s">
        <v>60</v>
      </c>
      <c r="G12" s="7" t="s">
        <v>61</v>
      </c>
      <c r="H12" s="7" t="s">
        <v>60</v>
      </c>
      <c r="I12" s="7" t="s">
        <v>60</v>
      </c>
      <c r="J12" s="7" t="s">
        <v>62</v>
      </c>
      <c r="K12" s="7" t="s">
        <v>63</v>
      </c>
      <c r="L12" s="7" t="s">
        <v>64</v>
      </c>
      <c r="M12" s="7" t="s">
        <v>65</v>
      </c>
      <c r="N12" s="7" t="s">
        <v>58</v>
      </c>
      <c r="O12" s="7" t="s">
        <v>58</v>
      </c>
      <c r="P12" s="7" t="s">
        <v>58</v>
      </c>
      <c r="Q12" s="7" t="s">
        <v>67</v>
      </c>
      <c r="R12" s="7" t="s">
        <v>67</v>
      </c>
      <c r="S12" s="7" t="s">
        <v>58</v>
      </c>
      <c r="T12" s="7" t="s">
        <v>67</v>
      </c>
      <c r="U12" s="7" t="s">
        <v>58</v>
      </c>
      <c r="V12" s="7" t="s">
        <v>67</v>
      </c>
      <c r="W12" s="7" t="s">
        <v>67</v>
      </c>
      <c r="X12" s="7" t="s">
        <v>58</v>
      </c>
      <c r="Y12" s="7" t="s">
        <v>67</v>
      </c>
      <c r="Z12" s="7" t="s">
        <v>58</v>
      </c>
      <c r="AA12" s="7" t="s">
        <v>58</v>
      </c>
      <c r="AB12" s="7" t="s">
        <v>58</v>
      </c>
      <c r="AC12" s="7" t="s">
        <v>58</v>
      </c>
      <c r="AD12" s="7" t="s">
        <v>58</v>
      </c>
      <c r="AE12" s="7" t="s">
        <v>67</v>
      </c>
      <c r="AF12" s="7" t="s">
        <v>58</v>
      </c>
      <c r="AG12" s="7" t="s">
        <v>67</v>
      </c>
      <c r="AH12" s="7" t="s">
        <v>58</v>
      </c>
      <c r="AI12" s="7" t="s">
        <v>77</v>
      </c>
      <c r="AJ12" s="7" t="s">
        <v>69</v>
      </c>
      <c r="AK12" s="7" t="s">
        <v>69</v>
      </c>
      <c r="AL12" s="7">
        <v>3.0</v>
      </c>
      <c r="AM12" s="7">
        <v>2.0</v>
      </c>
      <c r="AN12" s="7">
        <v>1.0</v>
      </c>
      <c r="AO12" s="7">
        <v>2.0</v>
      </c>
      <c r="AP12" s="7">
        <v>4.0</v>
      </c>
      <c r="AQ12" s="7">
        <v>4.0</v>
      </c>
      <c r="AR12" s="7">
        <v>1.0</v>
      </c>
      <c r="AS12" s="7">
        <v>4.0</v>
      </c>
      <c r="AT12" s="7">
        <v>1.0</v>
      </c>
      <c r="AU12" s="7">
        <v>4.0</v>
      </c>
      <c r="AV12" s="7">
        <v>2.0</v>
      </c>
      <c r="AW12" s="7">
        <v>4.0</v>
      </c>
      <c r="AX12" s="7">
        <v>2.0</v>
      </c>
      <c r="AY12" s="7">
        <v>5.0</v>
      </c>
      <c r="AZ12" s="7">
        <v>3.0</v>
      </c>
      <c r="BA12" s="7">
        <v>3.0</v>
      </c>
      <c r="BB12" s="7" t="s">
        <v>70</v>
      </c>
      <c r="BC12" s="7">
        <v>4.0</v>
      </c>
      <c r="BD12" s="7">
        <v>6.0</v>
      </c>
      <c r="BE12" s="7" t="s">
        <v>116</v>
      </c>
    </row>
    <row r="13" ht="22.5" customHeight="1">
      <c r="A13" s="6">
        <v>46024.39479091435</v>
      </c>
      <c r="B13" s="7" t="s">
        <v>57</v>
      </c>
      <c r="C13" s="7" t="s">
        <v>58</v>
      </c>
      <c r="D13" s="7" t="s">
        <v>58</v>
      </c>
      <c r="E13" s="7" t="s">
        <v>59</v>
      </c>
      <c r="F13" s="7" t="s">
        <v>60</v>
      </c>
      <c r="G13" s="7" t="s">
        <v>61</v>
      </c>
      <c r="H13" s="7" t="s">
        <v>60</v>
      </c>
      <c r="I13" s="7" t="s">
        <v>60</v>
      </c>
      <c r="J13" s="7" t="s">
        <v>62</v>
      </c>
      <c r="K13" s="7" t="s">
        <v>63</v>
      </c>
      <c r="L13" s="7" t="s">
        <v>64</v>
      </c>
      <c r="M13" s="7" t="s">
        <v>65</v>
      </c>
      <c r="N13" s="7" t="s">
        <v>58</v>
      </c>
      <c r="O13" s="7" t="s">
        <v>58</v>
      </c>
      <c r="P13" s="7" t="s">
        <v>58</v>
      </c>
      <c r="Q13" s="7" t="s">
        <v>58</v>
      </c>
      <c r="R13" s="7" t="s">
        <v>58</v>
      </c>
      <c r="S13" s="7" t="s">
        <v>66</v>
      </c>
      <c r="T13" s="7" t="s">
        <v>58</v>
      </c>
      <c r="U13" s="7" t="s">
        <v>58</v>
      </c>
      <c r="V13" s="7" t="s">
        <v>58</v>
      </c>
      <c r="W13" s="7" t="s">
        <v>58</v>
      </c>
      <c r="X13" s="7" t="s">
        <v>66</v>
      </c>
      <c r="Y13" s="7" t="s">
        <v>58</v>
      </c>
      <c r="Z13" s="7" t="s">
        <v>58</v>
      </c>
      <c r="AA13" s="7" t="s">
        <v>58</v>
      </c>
      <c r="AB13" s="7" t="s">
        <v>58</v>
      </c>
      <c r="AC13" s="7" t="s">
        <v>66</v>
      </c>
      <c r="AD13" s="7" t="s">
        <v>58</v>
      </c>
      <c r="AE13" s="7" t="s">
        <v>58</v>
      </c>
      <c r="AF13" s="7" t="s">
        <v>58</v>
      </c>
      <c r="AG13" s="7" t="s">
        <v>58</v>
      </c>
      <c r="AH13" s="7" t="s">
        <v>58</v>
      </c>
      <c r="AI13" s="7" t="s">
        <v>77</v>
      </c>
      <c r="AJ13" s="7" t="s">
        <v>69</v>
      </c>
      <c r="AK13" s="7" t="s">
        <v>73</v>
      </c>
      <c r="AL13" s="7">
        <v>3.0</v>
      </c>
      <c r="AM13" s="7">
        <v>5.0</v>
      </c>
      <c r="AN13" s="7">
        <v>1.0</v>
      </c>
      <c r="AO13" s="7">
        <v>1.0</v>
      </c>
      <c r="AP13" s="7">
        <v>5.0</v>
      </c>
      <c r="AQ13" s="7">
        <v>5.0</v>
      </c>
      <c r="AR13" s="7">
        <v>2.0</v>
      </c>
      <c r="AS13" s="7">
        <v>3.0</v>
      </c>
      <c r="AT13" s="7">
        <v>1.0</v>
      </c>
      <c r="AU13" s="7">
        <v>5.0</v>
      </c>
      <c r="AV13" s="7">
        <v>2.0</v>
      </c>
      <c r="AW13" s="7">
        <v>5.0</v>
      </c>
      <c r="AX13" s="7">
        <v>1.0</v>
      </c>
      <c r="AY13" s="7">
        <v>5.0</v>
      </c>
      <c r="AZ13" s="7">
        <v>1.0</v>
      </c>
      <c r="BA13" s="7">
        <v>2.0</v>
      </c>
      <c r="BB13" s="7" t="s">
        <v>70</v>
      </c>
      <c r="BC13" s="7">
        <v>2.0</v>
      </c>
      <c r="BD13" s="7">
        <v>6.0</v>
      </c>
      <c r="BE13" s="7" t="s">
        <v>117</v>
      </c>
    </row>
    <row r="14" ht="22.5" customHeight="1">
      <c r="A14" s="6">
        <v>46024.532448576385</v>
      </c>
      <c r="B14" s="7" t="s">
        <v>57</v>
      </c>
      <c r="C14" s="7" t="s">
        <v>58</v>
      </c>
      <c r="D14" s="7" t="s">
        <v>58</v>
      </c>
      <c r="E14" s="7" t="s">
        <v>59</v>
      </c>
      <c r="F14" s="7" t="s">
        <v>60</v>
      </c>
      <c r="G14" s="7" t="s">
        <v>61</v>
      </c>
      <c r="H14" s="7" t="s">
        <v>60</v>
      </c>
      <c r="I14" s="7" t="s">
        <v>60</v>
      </c>
      <c r="J14" s="7" t="s">
        <v>62</v>
      </c>
      <c r="K14" s="7" t="s">
        <v>63</v>
      </c>
      <c r="L14" s="7" t="s">
        <v>64</v>
      </c>
      <c r="M14" s="7" t="s">
        <v>65</v>
      </c>
      <c r="N14" s="7" t="s">
        <v>58</v>
      </c>
      <c r="O14" s="7" t="s">
        <v>58</v>
      </c>
      <c r="P14" s="7" t="s">
        <v>58</v>
      </c>
      <c r="Q14" s="7" t="s">
        <v>58</v>
      </c>
      <c r="R14" s="7" t="s">
        <v>58</v>
      </c>
      <c r="S14" s="7" t="s">
        <v>58</v>
      </c>
      <c r="T14" s="7" t="s">
        <v>58</v>
      </c>
      <c r="U14" s="7" t="s">
        <v>58</v>
      </c>
      <c r="V14" s="7" t="s">
        <v>58</v>
      </c>
      <c r="W14" s="7" t="s">
        <v>58</v>
      </c>
      <c r="X14" s="7" t="s">
        <v>58</v>
      </c>
      <c r="Y14" s="7" t="s">
        <v>58</v>
      </c>
      <c r="Z14" s="7" t="s">
        <v>58</v>
      </c>
      <c r="AA14" s="7" t="s">
        <v>58</v>
      </c>
      <c r="AB14" s="7" t="s">
        <v>58</v>
      </c>
      <c r="AC14" s="7" t="s">
        <v>58</v>
      </c>
      <c r="AD14" s="7" t="s">
        <v>58</v>
      </c>
      <c r="AE14" s="7" t="s">
        <v>58</v>
      </c>
      <c r="AF14" s="7" t="s">
        <v>58</v>
      </c>
      <c r="AG14" s="7" t="s">
        <v>58</v>
      </c>
      <c r="AH14" s="7" t="s">
        <v>58</v>
      </c>
      <c r="AI14" s="7" t="s">
        <v>68</v>
      </c>
      <c r="AJ14" s="7" t="s">
        <v>69</v>
      </c>
      <c r="AK14" s="7" t="s">
        <v>69</v>
      </c>
      <c r="AL14" s="7">
        <v>3.0</v>
      </c>
      <c r="AM14" s="7">
        <v>4.0</v>
      </c>
      <c r="AN14" s="7">
        <v>2.0</v>
      </c>
      <c r="AO14" s="7">
        <v>2.0</v>
      </c>
      <c r="AP14" s="7">
        <v>5.0</v>
      </c>
      <c r="AQ14" s="7">
        <v>5.0</v>
      </c>
      <c r="AR14" s="7">
        <v>1.0</v>
      </c>
      <c r="AS14" s="7">
        <v>5.0</v>
      </c>
      <c r="AT14" s="7">
        <v>1.0</v>
      </c>
      <c r="AU14" s="7">
        <v>5.0</v>
      </c>
      <c r="AV14" s="7">
        <v>4.0</v>
      </c>
      <c r="AW14" s="7">
        <v>5.0</v>
      </c>
      <c r="AX14" s="7">
        <v>1.0</v>
      </c>
      <c r="AY14" s="7">
        <v>5.0</v>
      </c>
      <c r="AZ14" s="7">
        <v>1.0</v>
      </c>
      <c r="BA14" s="7">
        <v>5.0</v>
      </c>
      <c r="BB14" s="7" t="s">
        <v>70</v>
      </c>
      <c r="BC14" s="7">
        <v>4.0</v>
      </c>
      <c r="BD14" s="7">
        <v>6.0</v>
      </c>
      <c r="BE14" s="7" t="s">
        <v>118</v>
      </c>
    </row>
    <row r="15" ht="22.5" customHeight="1">
      <c r="A15" s="6">
        <v>46024.60212804398</v>
      </c>
      <c r="B15" s="7" t="s">
        <v>57</v>
      </c>
      <c r="C15" s="7" t="s">
        <v>58</v>
      </c>
      <c r="D15" s="7" t="s">
        <v>58</v>
      </c>
      <c r="E15" s="7" t="s">
        <v>59</v>
      </c>
      <c r="F15" s="7" t="s">
        <v>60</v>
      </c>
      <c r="G15" s="7" t="s">
        <v>61</v>
      </c>
      <c r="H15" s="7" t="s">
        <v>60</v>
      </c>
      <c r="I15" s="7" t="s">
        <v>60</v>
      </c>
      <c r="J15" s="7" t="s">
        <v>62</v>
      </c>
      <c r="K15" s="7" t="s">
        <v>63</v>
      </c>
      <c r="L15" s="7" t="s">
        <v>64</v>
      </c>
      <c r="M15" s="7" t="s">
        <v>65</v>
      </c>
      <c r="N15" s="7" t="s">
        <v>58</v>
      </c>
      <c r="O15" s="7" t="s">
        <v>67</v>
      </c>
      <c r="P15" s="7" t="s">
        <v>58</v>
      </c>
      <c r="Q15" s="7" t="s">
        <v>67</v>
      </c>
      <c r="R15" s="7" t="s">
        <v>67</v>
      </c>
      <c r="S15" s="7" t="s">
        <v>58</v>
      </c>
      <c r="T15" s="7" t="s">
        <v>58</v>
      </c>
      <c r="U15" s="7" t="s">
        <v>58</v>
      </c>
      <c r="V15" s="7" t="s">
        <v>67</v>
      </c>
      <c r="W15" s="7" t="s">
        <v>58</v>
      </c>
      <c r="X15" s="7" t="s">
        <v>67</v>
      </c>
      <c r="Y15" s="7" t="s">
        <v>58</v>
      </c>
      <c r="Z15" s="7" t="s">
        <v>67</v>
      </c>
      <c r="AA15" s="7" t="s">
        <v>67</v>
      </c>
      <c r="AB15" s="7" t="s">
        <v>67</v>
      </c>
      <c r="AC15" s="7" t="s">
        <v>58</v>
      </c>
      <c r="AD15" s="7" t="s">
        <v>67</v>
      </c>
      <c r="AE15" s="7" t="s">
        <v>58</v>
      </c>
      <c r="AF15" s="7" t="s">
        <v>67</v>
      </c>
      <c r="AG15" s="7" t="s">
        <v>58</v>
      </c>
      <c r="AH15" s="7" t="s">
        <v>58</v>
      </c>
      <c r="AI15" s="7" t="s">
        <v>72</v>
      </c>
      <c r="AJ15" s="7" t="s">
        <v>69</v>
      </c>
      <c r="AK15" s="7" t="s">
        <v>69</v>
      </c>
      <c r="AL15" s="7">
        <v>5.0</v>
      </c>
      <c r="AM15" s="7">
        <v>4.0</v>
      </c>
      <c r="AN15" s="7">
        <v>4.0</v>
      </c>
      <c r="AO15" s="7">
        <v>4.0</v>
      </c>
      <c r="AP15" s="7">
        <v>3.0</v>
      </c>
      <c r="AQ15" s="7">
        <v>5.0</v>
      </c>
      <c r="AR15" s="7">
        <v>2.0</v>
      </c>
      <c r="AS15" s="7">
        <v>4.0</v>
      </c>
      <c r="AT15" s="7">
        <v>3.0</v>
      </c>
      <c r="AU15" s="7">
        <v>5.0</v>
      </c>
      <c r="AV15" s="7">
        <v>5.0</v>
      </c>
      <c r="AW15" s="7">
        <v>4.0</v>
      </c>
      <c r="AX15" s="7">
        <v>3.0</v>
      </c>
      <c r="AY15" s="7">
        <v>1.0</v>
      </c>
      <c r="AZ15" s="7">
        <v>5.0</v>
      </c>
      <c r="BA15" s="7">
        <v>5.0</v>
      </c>
      <c r="BB15" s="7" t="s">
        <v>74</v>
      </c>
      <c r="BC15" s="7">
        <v>4.0</v>
      </c>
      <c r="BD15" s="7">
        <v>3.0</v>
      </c>
      <c r="BE15" s="7" t="s">
        <v>119</v>
      </c>
    </row>
    <row r="16" ht="22.5" customHeight="1">
      <c r="A16" s="6">
        <v>46024.7078974537</v>
      </c>
      <c r="B16" s="7" t="s">
        <v>57</v>
      </c>
      <c r="C16" s="7" t="s">
        <v>58</v>
      </c>
      <c r="D16" s="7" t="s">
        <v>58</v>
      </c>
      <c r="E16" s="7" t="s">
        <v>59</v>
      </c>
      <c r="F16" s="7" t="s">
        <v>60</v>
      </c>
      <c r="G16" s="7" t="s">
        <v>61</v>
      </c>
      <c r="H16" s="7" t="s">
        <v>60</v>
      </c>
      <c r="I16" s="7" t="s">
        <v>60</v>
      </c>
      <c r="J16" s="7" t="s">
        <v>62</v>
      </c>
      <c r="K16" s="7" t="s">
        <v>63</v>
      </c>
      <c r="L16" s="7" t="s">
        <v>64</v>
      </c>
      <c r="M16" s="7" t="s">
        <v>65</v>
      </c>
      <c r="N16" s="7" t="s">
        <v>58</v>
      </c>
      <c r="O16" s="7" t="s">
        <v>58</v>
      </c>
      <c r="P16" s="7" t="s">
        <v>58</v>
      </c>
      <c r="Q16" s="7" t="s">
        <v>58</v>
      </c>
      <c r="R16" s="7" t="s">
        <v>58</v>
      </c>
      <c r="S16" s="7" t="s">
        <v>66</v>
      </c>
      <c r="T16" s="7" t="s">
        <v>58</v>
      </c>
      <c r="U16" s="7" t="s">
        <v>58</v>
      </c>
      <c r="V16" s="7" t="s">
        <v>58</v>
      </c>
      <c r="W16" s="7" t="s">
        <v>58</v>
      </c>
      <c r="X16" s="7" t="s">
        <v>66</v>
      </c>
      <c r="Y16" s="7" t="s">
        <v>58</v>
      </c>
      <c r="Z16" s="7" t="s">
        <v>67</v>
      </c>
      <c r="AA16" s="7" t="s">
        <v>67</v>
      </c>
      <c r="AB16" s="7" t="s">
        <v>58</v>
      </c>
      <c r="AC16" s="7" t="s">
        <v>66</v>
      </c>
      <c r="AD16" s="7" t="s">
        <v>67</v>
      </c>
      <c r="AE16" s="7" t="s">
        <v>58</v>
      </c>
      <c r="AF16" s="7" t="s">
        <v>67</v>
      </c>
      <c r="AG16" s="7" t="s">
        <v>67</v>
      </c>
      <c r="AH16" s="7" t="s">
        <v>58</v>
      </c>
      <c r="AI16" s="7" t="s">
        <v>68</v>
      </c>
      <c r="AJ16" s="7" t="s">
        <v>68</v>
      </c>
      <c r="AK16" s="7" t="s">
        <v>69</v>
      </c>
      <c r="AL16" s="7">
        <v>4.0</v>
      </c>
      <c r="AM16" s="7">
        <v>4.0</v>
      </c>
      <c r="AN16" s="7">
        <v>1.0</v>
      </c>
      <c r="AO16" s="7">
        <v>2.0</v>
      </c>
      <c r="AP16" s="7">
        <v>4.0</v>
      </c>
      <c r="AQ16" s="7">
        <v>5.0</v>
      </c>
      <c r="AR16" s="7">
        <v>2.0</v>
      </c>
      <c r="AS16" s="7">
        <v>3.0</v>
      </c>
      <c r="AT16" s="7">
        <v>2.0</v>
      </c>
      <c r="AU16" s="7">
        <v>1.0</v>
      </c>
      <c r="AV16" s="7">
        <v>3.0</v>
      </c>
      <c r="AW16" s="7">
        <v>5.0</v>
      </c>
      <c r="AX16" s="7">
        <v>2.0</v>
      </c>
      <c r="AY16" s="7">
        <v>5.0</v>
      </c>
      <c r="AZ16" s="7">
        <v>2.0</v>
      </c>
      <c r="BA16" s="7">
        <v>2.0</v>
      </c>
      <c r="BB16" s="7" t="s">
        <v>74</v>
      </c>
      <c r="BC16" s="7">
        <v>4.0</v>
      </c>
      <c r="BD16" s="7">
        <v>7.0</v>
      </c>
      <c r="BE16" s="7" t="s">
        <v>120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7.13"/>
    <col customWidth="1" min="6" max="48" width="37.63"/>
    <col customWidth="1" min="49" max="49" width="31.5"/>
    <col customWidth="1" min="50" max="53" width="37.63"/>
    <col customWidth="1" min="54" max="54" width="18.88"/>
    <col customWidth="1" min="55" max="56" width="37.63"/>
    <col customWidth="1" min="57" max="63"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26</v>
      </c>
      <c r="AA1" s="3" t="s">
        <v>25</v>
      </c>
      <c r="AB1" s="3" t="s">
        <v>27</v>
      </c>
      <c r="AC1" s="3" t="s">
        <v>28</v>
      </c>
      <c r="AD1" s="3" t="s">
        <v>29</v>
      </c>
      <c r="AE1" s="3" t="s">
        <v>30</v>
      </c>
      <c r="AF1" s="3" t="s">
        <v>31</v>
      </c>
      <c r="AG1" s="3" t="s">
        <v>33</v>
      </c>
      <c r="AH1" s="3" t="s">
        <v>32</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ht="22.5" customHeight="1">
      <c r="A2" s="4">
        <v>46020.6017254051</v>
      </c>
      <c r="B2" s="5" t="s">
        <v>57</v>
      </c>
      <c r="C2" s="5" t="s">
        <v>58</v>
      </c>
      <c r="D2" s="5" t="s">
        <v>58</v>
      </c>
      <c r="E2" s="5" t="s">
        <v>59</v>
      </c>
      <c r="F2" s="5" t="s">
        <v>60</v>
      </c>
      <c r="G2" s="5" t="s">
        <v>61</v>
      </c>
      <c r="H2" s="5" t="s">
        <v>60</v>
      </c>
      <c r="I2" s="5" t="s">
        <v>60</v>
      </c>
      <c r="J2" s="5" t="s">
        <v>62</v>
      </c>
      <c r="K2" s="5" t="s">
        <v>63</v>
      </c>
      <c r="L2" s="5" t="s">
        <v>64</v>
      </c>
      <c r="M2" s="5" t="s">
        <v>65</v>
      </c>
      <c r="N2" s="5" t="s">
        <v>58</v>
      </c>
      <c r="O2" s="5" t="s">
        <v>58</v>
      </c>
      <c r="P2" s="5" t="s">
        <v>66</v>
      </c>
      <c r="Q2" s="5" t="s">
        <v>58</v>
      </c>
      <c r="R2" s="5" t="s">
        <v>58</v>
      </c>
      <c r="S2" s="5" t="s">
        <v>58</v>
      </c>
      <c r="T2" s="5" t="s">
        <v>58</v>
      </c>
      <c r="U2" s="5" t="s">
        <v>67</v>
      </c>
      <c r="V2" s="5" t="s">
        <v>58</v>
      </c>
      <c r="W2" s="5" t="s">
        <v>58</v>
      </c>
      <c r="X2" s="5" t="s">
        <v>58</v>
      </c>
      <c r="Y2" s="5" t="s">
        <v>67</v>
      </c>
      <c r="Z2" s="5" t="s">
        <v>67</v>
      </c>
      <c r="AA2" s="5" t="s">
        <v>66</v>
      </c>
      <c r="AB2" s="5" t="s">
        <v>67</v>
      </c>
      <c r="AC2" s="5" t="s">
        <v>67</v>
      </c>
      <c r="AD2" s="5" t="s">
        <v>67</v>
      </c>
      <c r="AE2" s="5" t="s">
        <v>58</v>
      </c>
      <c r="AF2" s="5" t="s">
        <v>67</v>
      </c>
      <c r="AG2" s="5" t="s">
        <v>66</v>
      </c>
      <c r="AH2" s="5" t="s">
        <v>67</v>
      </c>
      <c r="AI2" s="5" t="s">
        <v>72</v>
      </c>
      <c r="AJ2" s="5" t="s">
        <v>68</v>
      </c>
      <c r="AK2" s="5" t="s">
        <v>69</v>
      </c>
      <c r="AL2" s="5">
        <v>5.0</v>
      </c>
      <c r="AM2" s="5">
        <v>4.0</v>
      </c>
      <c r="AN2" s="5">
        <v>5.0</v>
      </c>
      <c r="AO2" s="5">
        <v>4.0</v>
      </c>
      <c r="AP2" s="5">
        <v>4.0</v>
      </c>
      <c r="AQ2" s="5">
        <v>4.0</v>
      </c>
      <c r="AR2" s="5">
        <v>1.0</v>
      </c>
      <c r="AS2" s="5">
        <v>4.0</v>
      </c>
      <c r="AT2" s="5">
        <v>1.0</v>
      </c>
      <c r="AU2" s="5">
        <v>5.0</v>
      </c>
      <c r="AV2" s="5">
        <v>5.0</v>
      </c>
      <c r="AW2" s="5">
        <v>5.0</v>
      </c>
      <c r="AX2" s="5">
        <v>1.0</v>
      </c>
      <c r="AY2" s="5">
        <v>5.0</v>
      </c>
      <c r="AZ2" s="5">
        <v>1.0</v>
      </c>
      <c r="BA2" s="5">
        <v>5.0</v>
      </c>
      <c r="BB2" s="5" t="s">
        <v>70</v>
      </c>
      <c r="BC2" s="5">
        <v>4.0</v>
      </c>
      <c r="BD2" s="5">
        <v>8.0</v>
      </c>
      <c r="BE2" s="5" t="s">
        <v>121</v>
      </c>
    </row>
    <row r="3" ht="22.5" customHeight="1">
      <c r="A3" s="4">
        <v>46020.6168071412</v>
      </c>
      <c r="B3" s="5" t="s">
        <v>57</v>
      </c>
      <c r="C3" s="5" t="s">
        <v>58</v>
      </c>
      <c r="D3" s="5" t="s">
        <v>58</v>
      </c>
      <c r="E3" s="5" t="s">
        <v>59</v>
      </c>
      <c r="F3" s="5" t="s">
        <v>60</v>
      </c>
      <c r="G3" s="5" t="s">
        <v>61</v>
      </c>
      <c r="H3" s="5" t="s">
        <v>60</v>
      </c>
      <c r="I3" s="5" t="s">
        <v>60</v>
      </c>
      <c r="J3" s="5" t="s">
        <v>62</v>
      </c>
      <c r="K3" s="5" t="s">
        <v>63</v>
      </c>
      <c r="L3" s="5" t="s">
        <v>64</v>
      </c>
      <c r="M3" s="5" t="s">
        <v>65</v>
      </c>
      <c r="N3" s="5" t="s">
        <v>58</v>
      </c>
      <c r="O3" s="5" t="s">
        <v>67</v>
      </c>
      <c r="P3" s="5" t="s">
        <v>58</v>
      </c>
      <c r="Q3" s="5" t="s">
        <v>67</v>
      </c>
      <c r="R3" s="5" t="s">
        <v>58</v>
      </c>
      <c r="S3" s="5" t="s">
        <v>67</v>
      </c>
      <c r="T3" s="5" t="s">
        <v>58</v>
      </c>
      <c r="U3" s="5" t="s">
        <v>67</v>
      </c>
      <c r="V3" s="5" t="s">
        <v>58</v>
      </c>
      <c r="W3" s="5" t="s">
        <v>67</v>
      </c>
      <c r="X3" s="5" t="s">
        <v>67</v>
      </c>
      <c r="Y3" s="5" t="s">
        <v>58</v>
      </c>
      <c r="Z3" s="5" t="s">
        <v>67</v>
      </c>
      <c r="AA3" s="5" t="s">
        <v>58</v>
      </c>
      <c r="AB3" s="5" t="s">
        <v>67</v>
      </c>
      <c r="AC3" s="5" t="s">
        <v>58</v>
      </c>
      <c r="AD3" s="5" t="s">
        <v>67</v>
      </c>
      <c r="AE3" s="5" t="s">
        <v>67</v>
      </c>
      <c r="AF3" s="5" t="s">
        <v>58</v>
      </c>
      <c r="AG3" s="5" t="s">
        <v>66</v>
      </c>
      <c r="AH3" s="5" t="s">
        <v>58</v>
      </c>
      <c r="AI3" s="5" t="s">
        <v>68</v>
      </c>
      <c r="AJ3" s="5" t="s">
        <v>73</v>
      </c>
      <c r="AK3" s="5" t="s">
        <v>69</v>
      </c>
      <c r="AL3" s="5">
        <v>4.0</v>
      </c>
      <c r="AM3" s="5">
        <v>4.0</v>
      </c>
      <c r="AN3" s="5">
        <v>1.0</v>
      </c>
      <c r="AO3" s="5">
        <v>1.0</v>
      </c>
      <c r="AP3" s="5">
        <v>3.0</v>
      </c>
      <c r="AQ3" s="5">
        <v>5.0</v>
      </c>
      <c r="AR3" s="5">
        <v>3.0</v>
      </c>
      <c r="AS3" s="5">
        <v>4.0</v>
      </c>
      <c r="AT3" s="5">
        <v>3.0</v>
      </c>
      <c r="AU3" s="5">
        <v>3.0</v>
      </c>
      <c r="AV3" s="5">
        <v>5.0</v>
      </c>
      <c r="AW3" s="5">
        <v>5.0</v>
      </c>
      <c r="AX3" s="5">
        <v>3.0</v>
      </c>
      <c r="AY3" s="5">
        <v>5.0</v>
      </c>
      <c r="AZ3" s="5">
        <v>1.0</v>
      </c>
      <c r="BA3" s="5">
        <v>4.0</v>
      </c>
      <c r="BB3" s="5" t="s">
        <v>70</v>
      </c>
      <c r="BC3" s="5">
        <v>1.0</v>
      </c>
      <c r="BD3" s="5">
        <v>3.0</v>
      </c>
      <c r="BE3" s="5" t="s">
        <v>122</v>
      </c>
    </row>
    <row r="4" ht="22.5" customHeight="1">
      <c r="A4" s="4">
        <v>46020.660499143516</v>
      </c>
      <c r="B4" s="5" t="s">
        <v>57</v>
      </c>
      <c r="C4" s="5" t="s">
        <v>58</v>
      </c>
      <c r="D4" s="5" t="s">
        <v>58</v>
      </c>
      <c r="E4" s="5" t="s">
        <v>59</v>
      </c>
      <c r="F4" s="5" t="s">
        <v>60</v>
      </c>
      <c r="G4" s="5" t="s">
        <v>61</v>
      </c>
      <c r="H4" s="5" t="s">
        <v>60</v>
      </c>
      <c r="I4" s="5" t="s">
        <v>60</v>
      </c>
      <c r="J4" s="5" t="s">
        <v>62</v>
      </c>
      <c r="K4" s="5" t="s">
        <v>63</v>
      </c>
      <c r="L4" s="5" t="s">
        <v>64</v>
      </c>
      <c r="M4" s="5" t="s">
        <v>65</v>
      </c>
      <c r="N4" s="5" t="s">
        <v>58</v>
      </c>
      <c r="O4" s="5" t="s">
        <v>58</v>
      </c>
      <c r="P4" s="5" t="s">
        <v>66</v>
      </c>
      <c r="Q4" s="5" t="s">
        <v>58</v>
      </c>
      <c r="R4" s="5" t="s">
        <v>58</v>
      </c>
      <c r="S4" s="5" t="s">
        <v>58</v>
      </c>
      <c r="T4" s="5" t="s">
        <v>58</v>
      </c>
      <c r="U4" s="5" t="s">
        <v>58</v>
      </c>
      <c r="V4" s="5" t="s">
        <v>58</v>
      </c>
      <c r="W4" s="5" t="s">
        <v>58</v>
      </c>
      <c r="X4" s="5" t="s">
        <v>58</v>
      </c>
      <c r="Y4" s="5" t="s">
        <v>58</v>
      </c>
      <c r="Z4" s="5" t="s">
        <v>58</v>
      </c>
      <c r="AA4" s="5" t="s">
        <v>66</v>
      </c>
      <c r="AB4" s="5" t="s">
        <v>58</v>
      </c>
      <c r="AC4" s="5" t="s">
        <v>58</v>
      </c>
      <c r="AD4" s="5" t="s">
        <v>58</v>
      </c>
      <c r="AE4" s="5" t="s">
        <v>58</v>
      </c>
      <c r="AF4" s="5" t="s">
        <v>58</v>
      </c>
      <c r="AG4" s="5" t="s">
        <v>66</v>
      </c>
      <c r="AH4" s="5" t="s">
        <v>58</v>
      </c>
      <c r="AI4" s="5" t="s">
        <v>77</v>
      </c>
      <c r="AJ4" s="5" t="s">
        <v>69</v>
      </c>
      <c r="AK4" s="5" t="s">
        <v>69</v>
      </c>
      <c r="AL4" s="5">
        <v>5.0</v>
      </c>
      <c r="AM4" s="5">
        <v>5.0</v>
      </c>
      <c r="AN4" s="5">
        <v>2.0</v>
      </c>
      <c r="AO4" s="5">
        <v>2.0</v>
      </c>
      <c r="AP4" s="5">
        <v>5.0</v>
      </c>
      <c r="AQ4" s="5">
        <v>5.0</v>
      </c>
      <c r="AR4" s="5">
        <v>1.0</v>
      </c>
      <c r="AS4" s="5">
        <v>1.0</v>
      </c>
      <c r="AT4" s="5">
        <v>1.0</v>
      </c>
      <c r="AU4" s="5">
        <v>5.0</v>
      </c>
      <c r="AV4" s="5">
        <v>2.0</v>
      </c>
      <c r="AW4" s="5">
        <v>5.0</v>
      </c>
      <c r="AX4" s="5">
        <v>1.0</v>
      </c>
      <c r="AY4" s="5">
        <v>5.0</v>
      </c>
      <c r="AZ4" s="5">
        <v>1.0</v>
      </c>
      <c r="BA4" s="5">
        <v>5.0</v>
      </c>
      <c r="BB4" s="5" t="s">
        <v>70</v>
      </c>
      <c r="BC4" s="5">
        <v>5.0</v>
      </c>
      <c r="BD4" s="5">
        <v>4.0</v>
      </c>
      <c r="BE4" s="8"/>
    </row>
    <row r="5" ht="22.5" customHeight="1">
      <c r="A5" s="4">
        <v>46020.746560879634</v>
      </c>
      <c r="B5" s="5" t="s">
        <v>57</v>
      </c>
      <c r="C5" s="5" t="s">
        <v>58</v>
      </c>
      <c r="D5" s="5" t="s">
        <v>58</v>
      </c>
      <c r="E5" s="5" t="s">
        <v>59</v>
      </c>
      <c r="F5" s="5" t="s">
        <v>60</v>
      </c>
      <c r="G5" s="5" t="s">
        <v>61</v>
      </c>
      <c r="H5" s="5" t="s">
        <v>60</v>
      </c>
      <c r="I5" s="5" t="s">
        <v>60</v>
      </c>
      <c r="J5" s="5" t="s">
        <v>62</v>
      </c>
      <c r="K5" s="5" t="s">
        <v>63</v>
      </c>
      <c r="L5" s="5" t="s">
        <v>64</v>
      </c>
      <c r="M5" s="5" t="s">
        <v>65</v>
      </c>
      <c r="N5" s="5" t="s">
        <v>58</v>
      </c>
      <c r="O5" s="5" t="s">
        <v>58</v>
      </c>
      <c r="P5" s="5" t="s">
        <v>58</v>
      </c>
      <c r="Q5" s="5" t="s">
        <v>58</v>
      </c>
      <c r="R5" s="5" t="s">
        <v>58</v>
      </c>
      <c r="S5" s="5" t="s">
        <v>58</v>
      </c>
      <c r="T5" s="5" t="s">
        <v>58</v>
      </c>
      <c r="U5" s="5" t="s">
        <v>58</v>
      </c>
      <c r="V5" s="5" t="s">
        <v>58</v>
      </c>
      <c r="W5" s="5" t="s">
        <v>58</v>
      </c>
      <c r="X5" s="5" t="s">
        <v>58</v>
      </c>
      <c r="Y5" s="5" t="s">
        <v>58</v>
      </c>
      <c r="Z5" s="5" t="s">
        <v>58</v>
      </c>
      <c r="AA5" s="5" t="s">
        <v>66</v>
      </c>
      <c r="AB5" s="5" t="s">
        <v>58</v>
      </c>
      <c r="AC5" s="5" t="s">
        <v>58</v>
      </c>
      <c r="AD5" s="5" t="s">
        <v>58</v>
      </c>
      <c r="AE5" s="5" t="s">
        <v>58</v>
      </c>
      <c r="AF5" s="5" t="s">
        <v>58</v>
      </c>
      <c r="AG5" s="5" t="s">
        <v>66</v>
      </c>
      <c r="AH5" s="5" t="s">
        <v>58</v>
      </c>
      <c r="AI5" s="5" t="s">
        <v>77</v>
      </c>
      <c r="AJ5" s="5" t="s">
        <v>69</v>
      </c>
      <c r="AK5" s="5" t="s">
        <v>69</v>
      </c>
      <c r="AL5" s="5">
        <v>3.0</v>
      </c>
      <c r="AM5" s="5">
        <v>4.0</v>
      </c>
      <c r="AN5" s="5">
        <v>1.0</v>
      </c>
      <c r="AO5" s="5">
        <v>1.0</v>
      </c>
      <c r="AP5" s="5">
        <v>4.0</v>
      </c>
      <c r="AQ5" s="5">
        <v>5.0</v>
      </c>
      <c r="AR5" s="5">
        <v>1.0</v>
      </c>
      <c r="AS5" s="5">
        <v>3.0</v>
      </c>
      <c r="AT5" s="5">
        <v>1.0</v>
      </c>
      <c r="AU5" s="5">
        <v>3.0</v>
      </c>
      <c r="AV5" s="5">
        <v>3.0</v>
      </c>
      <c r="AW5" s="5">
        <v>4.0</v>
      </c>
      <c r="AX5" s="5">
        <v>1.0</v>
      </c>
      <c r="AY5" s="5">
        <v>4.0</v>
      </c>
      <c r="AZ5" s="5">
        <v>2.0</v>
      </c>
      <c r="BA5" s="5">
        <v>3.0</v>
      </c>
      <c r="BB5" s="5" t="s">
        <v>70</v>
      </c>
      <c r="BC5" s="5">
        <v>6.0</v>
      </c>
      <c r="BD5" s="5">
        <v>7.0</v>
      </c>
      <c r="BE5" s="5" t="s">
        <v>123</v>
      </c>
    </row>
    <row r="6" ht="22.5" customHeight="1">
      <c r="A6" s="4">
        <v>46020.944682037036</v>
      </c>
      <c r="B6" s="5" t="s">
        <v>57</v>
      </c>
      <c r="C6" s="5" t="s">
        <v>58</v>
      </c>
      <c r="D6" s="5" t="s">
        <v>58</v>
      </c>
      <c r="E6" s="5" t="s">
        <v>59</v>
      </c>
      <c r="F6" s="5" t="s">
        <v>60</v>
      </c>
      <c r="G6" s="5" t="s">
        <v>61</v>
      </c>
      <c r="H6" s="5" t="s">
        <v>60</v>
      </c>
      <c r="I6" s="5" t="s">
        <v>60</v>
      </c>
      <c r="J6" s="5" t="s">
        <v>62</v>
      </c>
      <c r="K6" s="5" t="s">
        <v>63</v>
      </c>
      <c r="L6" s="5" t="s">
        <v>64</v>
      </c>
      <c r="M6" s="5" t="s">
        <v>65</v>
      </c>
      <c r="N6" s="5" t="s">
        <v>58</v>
      </c>
      <c r="O6" s="5" t="s">
        <v>58</v>
      </c>
      <c r="P6" s="5" t="s">
        <v>66</v>
      </c>
      <c r="Q6" s="5" t="s">
        <v>58</v>
      </c>
      <c r="R6" s="5" t="s">
        <v>67</v>
      </c>
      <c r="S6" s="5" t="s">
        <v>67</v>
      </c>
      <c r="T6" s="5" t="s">
        <v>67</v>
      </c>
      <c r="U6" s="5" t="s">
        <v>67</v>
      </c>
      <c r="V6" s="5" t="s">
        <v>67</v>
      </c>
      <c r="W6" s="5" t="s">
        <v>67</v>
      </c>
      <c r="X6" s="5" t="s">
        <v>67</v>
      </c>
      <c r="Y6" s="5" t="s">
        <v>58</v>
      </c>
      <c r="Z6" s="5" t="s">
        <v>58</v>
      </c>
      <c r="AA6" s="5" t="s">
        <v>66</v>
      </c>
      <c r="AB6" s="5" t="s">
        <v>67</v>
      </c>
      <c r="AC6" s="5" t="s">
        <v>67</v>
      </c>
      <c r="AD6" s="5" t="s">
        <v>67</v>
      </c>
      <c r="AE6" s="5" t="s">
        <v>58</v>
      </c>
      <c r="AF6" s="5" t="s">
        <v>67</v>
      </c>
      <c r="AG6" s="5" t="s">
        <v>66</v>
      </c>
      <c r="AH6" s="5" t="s">
        <v>67</v>
      </c>
      <c r="AI6" s="5" t="s">
        <v>68</v>
      </c>
      <c r="AJ6" s="5" t="s">
        <v>68</v>
      </c>
      <c r="AK6" s="5" t="s">
        <v>68</v>
      </c>
      <c r="AL6" s="5">
        <v>1.0</v>
      </c>
      <c r="AM6" s="5">
        <v>3.0</v>
      </c>
      <c r="AN6" s="5">
        <v>2.0</v>
      </c>
      <c r="AO6" s="5">
        <v>3.0</v>
      </c>
      <c r="AP6" s="5">
        <v>2.0</v>
      </c>
      <c r="AQ6" s="5">
        <v>2.0</v>
      </c>
      <c r="AR6" s="5">
        <v>1.0</v>
      </c>
      <c r="AS6" s="5">
        <v>5.0</v>
      </c>
      <c r="AT6" s="5">
        <v>1.0</v>
      </c>
      <c r="AU6" s="5">
        <v>4.0</v>
      </c>
      <c r="AV6" s="5">
        <v>2.0</v>
      </c>
      <c r="AW6" s="5">
        <v>5.0</v>
      </c>
      <c r="AX6" s="5">
        <v>1.0</v>
      </c>
      <c r="AY6" s="5">
        <v>5.0</v>
      </c>
      <c r="AZ6" s="5">
        <v>1.0</v>
      </c>
      <c r="BA6" s="5">
        <v>4.0</v>
      </c>
      <c r="BB6" s="5" t="s">
        <v>70</v>
      </c>
      <c r="BC6" s="5">
        <v>4.0</v>
      </c>
      <c r="BD6" s="5">
        <v>7.0</v>
      </c>
      <c r="BE6" s="5" t="s">
        <v>124</v>
      </c>
    </row>
    <row r="7" ht="22.5" customHeight="1">
      <c r="A7" s="4">
        <v>46021.71107068287</v>
      </c>
      <c r="B7" s="5" t="s">
        <v>57</v>
      </c>
      <c r="C7" s="5" t="s">
        <v>58</v>
      </c>
      <c r="D7" s="5" t="s">
        <v>58</v>
      </c>
      <c r="E7" s="5" t="s">
        <v>59</v>
      </c>
      <c r="F7" s="5" t="s">
        <v>60</v>
      </c>
      <c r="G7" s="5" t="s">
        <v>61</v>
      </c>
      <c r="H7" s="5" t="s">
        <v>60</v>
      </c>
      <c r="I7" s="5" t="s">
        <v>60</v>
      </c>
      <c r="J7" s="5" t="s">
        <v>62</v>
      </c>
      <c r="K7" s="5" t="s">
        <v>63</v>
      </c>
      <c r="L7" s="5" t="s">
        <v>64</v>
      </c>
      <c r="M7" s="5" t="s">
        <v>65</v>
      </c>
      <c r="N7" s="5" t="s">
        <v>67</v>
      </c>
      <c r="O7" s="5" t="s">
        <v>67</v>
      </c>
      <c r="P7" s="5" t="s">
        <v>67</v>
      </c>
      <c r="Q7" s="5" t="s">
        <v>67</v>
      </c>
      <c r="R7" s="5" t="s">
        <v>58</v>
      </c>
      <c r="S7" s="5" t="s">
        <v>58</v>
      </c>
      <c r="T7" s="5" t="s">
        <v>67</v>
      </c>
      <c r="U7" s="5" t="s">
        <v>67</v>
      </c>
      <c r="V7" s="5" t="s">
        <v>67</v>
      </c>
      <c r="W7" s="5" t="s">
        <v>67</v>
      </c>
      <c r="X7" s="5" t="s">
        <v>67</v>
      </c>
      <c r="Y7" s="5" t="s">
        <v>67</v>
      </c>
      <c r="Z7" s="5" t="s">
        <v>58</v>
      </c>
      <c r="AA7" s="5" t="s">
        <v>67</v>
      </c>
      <c r="AB7" s="5" t="s">
        <v>67</v>
      </c>
      <c r="AC7" s="5" t="s">
        <v>67</v>
      </c>
      <c r="AD7" s="5" t="s">
        <v>67</v>
      </c>
      <c r="AE7" s="5" t="s">
        <v>67</v>
      </c>
      <c r="AF7" s="5" t="s">
        <v>67</v>
      </c>
      <c r="AG7" s="5" t="s">
        <v>67</v>
      </c>
      <c r="AH7" s="5" t="s">
        <v>67</v>
      </c>
      <c r="AI7" s="5" t="s">
        <v>68</v>
      </c>
      <c r="AJ7" s="5" t="s">
        <v>69</v>
      </c>
      <c r="AK7" s="5" t="s">
        <v>69</v>
      </c>
      <c r="AL7" s="5">
        <v>2.0</v>
      </c>
      <c r="AM7" s="5">
        <v>3.0</v>
      </c>
      <c r="AN7" s="5">
        <v>2.0</v>
      </c>
      <c r="AO7" s="5">
        <v>3.0</v>
      </c>
      <c r="AP7" s="5">
        <v>4.0</v>
      </c>
      <c r="AQ7" s="5">
        <v>3.0</v>
      </c>
      <c r="AR7" s="5">
        <v>4.0</v>
      </c>
      <c r="AS7" s="5">
        <v>3.0</v>
      </c>
      <c r="AT7" s="5">
        <v>3.0</v>
      </c>
      <c r="AU7" s="5">
        <v>3.0</v>
      </c>
      <c r="AV7" s="5">
        <v>4.0</v>
      </c>
      <c r="AW7" s="5">
        <v>4.0</v>
      </c>
      <c r="AX7" s="5">
        <v>5.0</v>
      </c>
      <c r="AY7" s="5">
        <v>4.0</v>
      </c>
      <c r="AZ7" s="5">
        <v>2.0</v>
      </c>
      <c r="BA7" s="5">
        <v>2.0</v>
      </c>
      <c r="BB7" s="5" t="s">
        <v>90</v>
      </c>
      <c r="BC7" s="5">
        <v>3.0</v>
      </c>
      <c r="BD7" s="5">
        <v>5.0</v>
      </c>
      <c r="BE7" s="5" t="s">
        <v>125</v>
      </c>
    </row>
    <row r="8" ht="22.5" customHeight="1">
      <c r="A8" s="6">
        <v>46022.69271203704</v>
      </c>
      <c r="B8" s="7" t="s">
        <v>57</v>
      </c>
      <c r="C8" s="7" t="s">
        <v>58</v>
      </c>
      <c r="D8" s="7" t="s">
        <v>58</v>
      </c>
      <c r="E8" s="7" t="s">
        <v>59</v>
      </c>
      <c r="F8" s="7" t="s">
        <v>60</v>
      </c>
      <c r="G8" s="7" t="s">
        <v>61</v>
      </c>
      <c r="H8" s="7" t="s">
        <v>60</v>
      </c>
      <c r="I8" s="7" t="s">
        <v>60</v>
      </c>
      <c r="J8" s="7" t="s">
        <v>62</v>
      </c>
      <c r="K8" s="7" t="s">
        <v>63</v>
      </c>
      <c r="L8" s="7" t="s">
        <v>64</v>
      </c>
      <c r="M8" s="7" t="s">
        <v>65</v>
      </c>
      <c r="N8" s="7" t="s">
        <v>67</v>
      </c>
      <c r="O8" s="7" t="s">
        <v>67</v>
      </c>
      <c r="P8" s="7" t="s">
        <v>66</v>
      </c>
      <c r="Q8" s="7" t="s">
        <v>67</v>
      </c>
      <c r="R8" s="7" t="s">
        <v>58</v>
      </c>
      <c r="S8" s="7" t="s">
        <v>67</v>
      </c>
      <c r="T8" s="7" t="s">
        <v>58</v>
      </c>
      <c r="U8" s="7" t="s">
        <v>67</v>
      </c>
      <c r="V8" s="7" t="s">
        <v>67</v>
      </c>
      <c r="W8" s="7" t="s">
        <v>58</v>
      </c>
      <c r="X8" s="7" t="s">
        <v>58</v>
      </c>
      <c r="Y8" s="7" t="s">
        <v>67</v>
      </c>
      <c r="Z8" s="7" t="s">
        <v>58</v>
      </c>
      <c r="AA8" s="7" t="s">
        <v>66</v>
      </c>
      <c r="AB8" s="7" t="s">
        <v>67</v>
      </c>
      <c r="AC8" s="7" t="s">
        <v>67</v>
      </c>
      <c r="AD8" s="7" t="s">
        <v>58</v>
      </c>
      <c r="AE8" s="7" t="s">
        <v>58</v>
      </c>
      <c r="AF8" s="7" t="s">
        <v>67</v>
      </c>
      <c r="AG8" s="7" t="s">
        <v>66</v>
      </c>
      <c r="AH8" s="7" t="s">
        <v>58</v>
      </c>
      <c r="AI8" s="7" t="s">
        <v>68</v>
      </c>
      <c r="AJ8" s="7" t="s">
        <v>68</v>
      </c>
      <c r="AK8" s="7" t="s">
        <v>68</v>
      </c>
      <c r="AL8" s="7">
        <v>4.0</v>
      </c>
      <c r="AM8" s="7">
        <v>2.0</v>
      </c>
      <c r="AN8" s="7">
        <v>1.0</v>
      </c>
      <c r="AO8" s="7">
        <v>1.0</v>
      </c>
      <c r="AP8" s="7">
        <v>4.0</v>
      </c>
      <c r="AQ8" s="7">
        <v>4.0</v>
      </c>
      <c r="AR8" s="7">
        <v>2.0</v>
      </c>
      <c r="AS8" s="7">
        <v>3.0</v>
      </c>
      <c r="AT8" s="7">
        <v>2.0</v>
      </c>
      <c r="AU8" s="7">
        <v>3.0</v>
      </c>
      <c r="AV8" s="7">
        <v>4.0</v>
      </c>
      <c r="AW8" s="7">
        <v>4.0</v>
      </c>
      <c r="AX8" s="7">
        <v>3.0</v>
      </c>
      <c r="AY8" s="7">
        <v>3.0</v>
      </c>
      <c r="AZ8" s="7">
        <v>2.0</v>
      </c>
      <c r="BA8" s="7">
        <v>3.0</v>
      </c>
      <c r="BB8" s="7" t="s">
        <v>70</v>
      </c>
      <c r="BC8" s="7">
        <v>4.0</v>
      </c>
      <c r="BD8" s="7">
        <v>6.0</v>
      </c>
      <c r="BE8" s="7" t="s">
        <v>126</v>
      </c>
    </row>
    <row r="9" ht="22.5" customHeight="1">
      <c r="A9" s="6">
        <v>46022.75544425926</v>
      </c>
      <c r="B9" s="7" t="s">
        <v>57</v>
      </c>
      <c r="C9" s="7" t="s">
        <v>58</v>
      </c>
      <c r="D9" s="7" t="s">
        <v>58</v>
      </c>
      <c r="E9" s="7" t="s">
        <v>59</v>
      </c>
      <c r="F9" s="7" t="s">
        <v>60</v>
      </c>
      <c r="G9" s="7" t="s">
        <v>61</v>
      </c>
      <c r="H9" s="7" t="s">
        <v>60</v>
      </c>
      <c r="I9" s="7" t="s">
        <v>60</v>
      </c>
      <c r="J9" s="7" t="s">
        <v>62</v>
      </c>
      <c r="K9" s="7" t="s">
        <v>63</v>
      </c>
      <c r="L9" s="7" t="s">
        <v>64</v>
      </c>
      <c r="M9" s="7" t="s">
        <v>65</v>
      </c>
      <c r="N9" s="7" t="s">
        <v>58</v>
      </c>
      <c r="O9" s="7" t="s">
        <v>58</v>
      </c>
      <c r="P9" s="7" t="s">
        <v>66</v>
      </c>
      <c r="Q9" s="7" t="s">
        <v>67</v>
      </c>
      <c r="R9" s="7" t="s">
        <v>67</v>
      </c>
      <c r="S9" s="7" t="s">
        <v>58</v>
      </c>
      <c r="T9" s="7" t="s">
        <v>67</v>
      </c>
      <c r="U9" s="7" t="s">
        <v>58</v>
      </c>
      <c r="V9" s="7" t="s">
        <v>67</v>
      </c>
      <c r="W9" s="7" t="s">
        <v>58</v>
      </c>
      <c r="X9" s="7" t="s">
        <v>67</v>
      </c>
      <c r="Y9" s="7" t="s">
        <v>58</v>
      </c>
      <c r="Z9" s="7" t="s">
        <v>67</v>
      </c>
      <c r="AA9" s="7" t="s">
        <v>66</v>
      </c>
      <c r="AB9" s="7" t="s">
        <v>58</v>
      </c>
      <c r="AC9" s="7" t="s">
        <v>58</v>
      </c>
      <c r="AD9" s="7" t="s">
        <v>67</v>
      </c>
      <c r="AE9" s="7" t="s">
        <v>58</v>
      </c>
      <c r="AF9" s="7" t="s">
        <v>58</v>
      </c>
      <c r="AG9" s="7" t="s">
        <v>66</v>
      </c>
      <c r="AH9" s="7" t="s">
        <v>58</v>
      </c>
      <c r="AI9" s="7" t="s">
        <v>68</v>
      </c>
      <c r="AJ9" s="7" t="s">
        <v>73</v>
      </c>
      <c r="AK9" s="7" t="s">
        <v>73</v>
      </c>
      <c r="AL9" s="7">
        <v>4.0</v>
      </c>
      <c r="AM9" s="7">
        <v>4.0</v>
      </c>
      <c r="AN9" s="7">
        <v>1.0</v>
      </c>
      <c r="AO9" s="7">
        <v>2.0</v>
      </c>
      <c r="AP9" s="7">
        <v>5.0</v>
      </c>
      <c r="AQ9" s="7">
        <v>4.0</v>
      </c>
      <c r="AR9" s="7">
        <v>2.0</v>
      </c>
      <c r="AS9" s="7">
        <v>5.0</v>
      </c>
      <c r="AT9" s="7">
        <v>1.0</v>
      </c>
      <c r="AU9" s="7">
        <v>4.0</v>
      </c>
      <c r="AV9" s="7">
        <v>2.0</v>
      </c>
      <c r="AW9" s="7">
        <v>4.0</v>
      </c>
      <c r="AX9" s="7">
        <v>2.0</v>
      </c>
      <c r="AY9" s="7">
        <v>4.0</v>
      </c>
      <c r="AZ9" s="7">
        <v>1.0</v>
      </c>
      <c r="BA9" s="7">
        <v>1.0</v>
      </c>
      <c r="BB9" s="7" t="s">
        <v>70</v>
      </c>
      <c r="BC9" s="7">
        <v>2.0</v>
      </c>
      <c r="BD9" s="7">
        <v>5.0</v>
      </c>
      <c r="BE9" s="7" t="s">
        <v>127</v>
      </c>
    </row>
    <row r="10" ht="22.5" customHeight="1">
      <c r="A10" s="6">
        <v>46023.418124131946</v>
      </c>
      <c r="B10" s="7" t="s">
        <v>57</v>
      </c>
      <c r="C10" s="7" t="s">
        <v>58</v>
      </c>
      <c r="D10" s="7" t="s">
        <v>58</v>
      </c>
      <c r="E10" s="7" t="s">
        <v>59</v>
      </c>
      <c r="F10" s="7" t="s">
        <v>60</v>
      </c>
      <c r="G10" s="7" t="s">
        <v>61</v>
      </c>
      <c r="H10" s="7" t="s">
        <v>60</v>
      </c>
      <c r="I10" s="7" t="s">
        <v>60</v>
      </c>
      <c r="J10" s="7" t="s">
        <v>62</v>
      </c>
      <c r="K10" s="7" t="s">
        <v>63</v>
      </c>
      <c r="L10" s="7" t="s">
        <v>64</v>
      </c>
      <c r="M10" s="7" t="s">
        <v>65</v>
      </c>
      <c r="N10" s="7" t="s">
        <v>67</v>
      </c>
      <c r="O10" s="7" t="s">
        <v>67</v>
      </c>
      <c r="P10" s="7" t="s">
        <v>66</v>
      </c>
      <c r="Q10" s="7" t="s">
        <v>58</v>
      </c>
      <c r="R10" s="7" t="s">
        <v>58</v>
      </c>
      <c r="S10" s="7" t="s">
        <v>67</v>
      </c>
      <c r="T10" s="7" t="s">
        <v>58</v>
      </c>
      <c r="U10" s="7" t="s">
        <v>67</v>
      </c>
      <c r="V10" s="7" t="s">
        <v>67</v>
      </c>
      <c r="W10" s="7" t="s">
        <v>58</v>
      </c>
      <c r="X10" s="7" t="s">
        <v>58</v>
      </c>
      <c r="Y10" s="7" t="s">
        <v>58</v>
      </c>
      <c r="Z10" s="7" t="s">
        <v>58</v>
      </c>
      <c r="AA10" s="7" t="s">
        <v>66</v>
      </c>
      <c r="AB10" s="7" t="s">
        <v>58</v>
      </c>
      <c r="AC10" s="7" t="s">
        <v>58</v>
      </c>
      <c r="AD10" s="7" t="s">
        <v>58</v>
      </c>
      <c r="AE10" s="7" t="s">
        <v>58</v>
      </c>
      <c r="AF10" s="7" t="s">
        <v>67</v>
      </c>
      <c r="AG10" s="7" t="s">
        <v>66</v>
      </c>
      <c r="AH10" s="7" t="s">
        <v>67</v>
      </c>
      <c r="AI10" s="7" t="s">
        <v>68</v>
      </c>
      <c r="AJ10" s="7" t="s">
        <v>68</v>
      </c>
      <c r="AK10" s="7" t="s">
        <v>68</v>
      </c>
      <c r="AL10" s="7">
        <v>5.0</v>
      </c>
      <c r="AM10" s="7">
        <v>4.0</v>
      </c>
      <c r="AN10" s="7">
        <v>1.0</v>
      </c>
      <c r="AO10" s="7">
        <v>1.0</v>
      </c>
      <c r="AP10" s="7">
        <v>5.0</v>
      </c>
      <c r="AQ10" s="7">
        <v>5.0</v>
      </c>
      <c r="AR10" s="7">
        <v>1.0</v>
      </c>
      <c r="AS10" s="7">
        <v>4.0</v>
      </c>
      <c r="AT10" s="7">
        <v>1.0</v>
      </c>
      <c r="AU10" s="7">
        <v>4.0</v>
      </c>
      <c r="AV10" s="7">
        <v>3.0</v>
      </c>
      <c r="AW10" s="7">
        <v>4.0</v>
      </c>
      <c r="AX10" s="7">
        <v>2.0</v>
      </c>
      <c r="AY10" s="7">
        <v>2.0</v>
      </c>
      <c r="AZ10" s="7">
        <v>2.0</v>
      </c>
      <c r="BA10" s="7">
        <v>2.0</v>
      </c>
      <c r="BB10" s="7" t="s">
        <v>70</v>
      </c>
      <c r="BC10" s="7">
        <v>4.0</v>
      </c>
      <c r="BD10" s="7">
        <v>5.0</v>
      </c>
      <c r="BE10" s="7" t="s">
        <v>128</v>
      </c>
    </row>
    <row r="11" ht="22.5" customHeight="1">
      <c r="A11" s="6">
        <v>46023.54705064815</v>
      </c>
      <c r="B11" s="7" t="s">
        <v>57</v>
      </c>
      <c r="C11" s="7" t="s">
        <v>58</v>
      </c>
      <c r="D11" s="7" t="s">
        <v>58</v>
      </c>
      <c r="E11" s="7" t="s">
        <v>59</v>
      </c>
      <c r="F11" s="7" t="s">
        <v>60</v>
      </c>
      <c r="G11" s="7" t="s">
        <v>61</v>
      </c>
      <c r="H11" s="7" t="s">
        <v>60</v>
      </c>
      <c r="I11" s="7" t="s">
        <v>60</v>
      </c>
      <c r="J11" s="7" t="s">
        <v>62</v>
      </c>
      <c r="K11" s="7" t="s">
        <v>63</v>
      </c>
      <c r="L11" s="7" t="s">
        <v>64</v>
      </c>
      <c r="M11" s="7" t="s">
        <v>65</v>
      </c>
      <c r="N11" s="7" t="s">
        <v>58</v>
      </c>
      <c r="O11" s="7" t="s">
        <v>58</v>
      </c>
      <c r="P11" s="7" t="s">
        <v>66</v>
      </c>
      <c r="Q11" s="7" t="s">
        <v>58</v>
      </c>
      <c r="R11" s="7" t="s">
        <v>58</v>
      </c>
      <c r="S11" s="7" t="s">
        <v>58</v>
      </c>
      <c r="T11" s="7" t="s">
        <v>58</v>
      </c>
      <c r="U11" s="7" t="s">
        <v>58</v>
      </c>
      <c r="V11" s="7" t="s">
        <v>58</v>
      </c>
      <c r="W11" s="7" t="s">
        <v>58</v>
      </c>
      <c r="X11" s="7" t="s">
        <v>58</v>
      </c>
      <c r="Y11" s="7" t="s">
        <v>58</v>
      </c>
      <c r="Z11" s="7" t="s">
        <v>58</v>
      </c>
      <c r="AA11" s="7" t="s">
        <v>66</v>
      </c>
      <c r="AB11" s="7" t="s">
        <v>58</v>
      </c>
      <c r="AC11" s="7" t="s">
        <v>58</v>
      </c>
      <c r="AD11" s="7" t="s">
        <v>58</v>
      </c>
      <c r="AE11" s="7" t="s">
        <v>58</v>
      </c>
      <c r="AF11" s="7" t="s">
        <v>58</v>
      </c>
      <c r="AG11" s="7" t="s">
        <v>66</v>
      </c>
      <c r="AH11" s="7" t="s">
        <v>58</v>
      </c>
      <c r="AI11" s="7" t="s">
        <v>77</v>
      </c>
      <c r="AJ11" s="7" t="s">
        <v>69</v>
      </c>
      <c r="AK11" s="7" t="s">
        <v>69</v>
      </c>
      <c r="AL11" s="7">
        <v>5.0</v>
      </c>
      <c r="AM11" s="7">
        <v>5.0</v>
      </c>
      <c r="AN11" s="7">
        <v>1.0</v>
      </c>
      <c r="AO11" s="7">
        <v>1.0</v>
      </c>
      <c r="AP11" s="7">
        <v>5.0</v>
      </c>
      <c r="AQ11" s="7">
        <v>5.0</v>
      </c>
      <c r="AR11" s="7">
        <v>5.0</v>
      </c>
      <c r="AS11" s="7">
        <v>4.0</v>
      </c>
      <c r="AT11" s="7">
        <v>4.0</v>
      </c>
      <c r="AU11" s="7">
        <v>2.0</v>
      </c>
      <c r="AV11" s="7">
        <v>5.0</v>
      </c>
      <c r="AW11" s="7">
        <v>4.0</v>
      </c>
      <c r="AX11" s="7">
        <v>4.0</v>
      </c>
      <c r="AY11" s="7">
        <v>1.0</v>
      </c>
      <c r="AZ11" s="7">
        <v>1.0</v>
      </c>
      <c r="BA11" s="7">
        <v>1.0</v>
      </c>
      <c r="BB11" s="7" t="s">
        <v>74</v>
      </c>
      <c r="BC11" s="7">
        <v>5.0</v>
      </c>
      <c r="BD11" s="7">
        <v>6.0</v>
      </c>
      <c r="BE11" s="7" t="s">
        <v>129</v>
      </c>
    </row>
    <row r="12" ht="22.5" customHeight="1">
      <c r="A12" s="6">
        <v>46024.66421740741</v>
      </c>
      <c r="B12" s="7" t="s">
        <v>57</v>
      </c>
      <c r="C12" s="7" t="s">
        <v>58</v>
      </c>
      <c r="D12" s="7" t="s">
        <v>58</v>
      </c>
      <c r="E12" s="7" t="s">
        <v>59</v>
      </c>
      <c r="F12" s="7" t="s">
        <v>60</v>
      </c>
      <c r="G12" s="7" t="s">
        <v>61</v>
      </c>
      <c r="H12" s="7" t="s">
        <v>60</v>
      </c>
      <c r="I12" s="7" t="s">
        <v>60</v>
      </c>
      <c r="J12" s="7" t="s">
        <v>62</v>
      </c>
      <c r="K12" s="7" t="s">
        <v>63</v>
      </c>
      <c r="L12" s="7" t="s">
        <v>64</v>
      </c>
      <c r="M12" s="7" t="s">
        <v>65</v>
      </c>
      <c r="N12" s="7" t="s">
        <v>58</v>
      </c>
      <c r="O12" s="7" t="s">
        <v>67</v>
      </c>
      <c r="P12" s="7" t="s">
        <v>66</v>
      </c>
      <c r="Q12" s="7" t="s">
        <v>67</v>
      </c>
      <c r="R12" s="7" t="s">
        <v>58</v>
      </c>
      <c r="S12" s="7" t="s">
        <v>67</v>
      </c>
      <c r="T12" s="7" t="s">
        <v>67</v>
      </c>
      <c r="U12" s="7" t="s">
        <v>67</v>
      </c>
      <c r="V12" s="7" t="s">
        <v>67</v>
      </c>
      <c r="W12" s="7" t="s">
        <v>67</v>
      </c>
      <c r="X12" s="7" t="s">
        <v>58</v>
      </c>
      <c r="Y12" s="7" t="s">
        <v>67</v>
      </c>
      <c r="Z12" s="7" t="s">
        <v>67</v>
      </c>
      <c r="AA12" s="7" t="s">
        <v>66</v>
      </c>
      <c r="AB12" s="7" t="s">
        <v>58</v>
      </c>
      <c r="AC12" s="7" t="s">
        <v>67</v>
      </c>
      <c r="AD12" s="7" t="s">
        <v>67</v>
      </c>
      <c r="AE12" s="7" t="s">
        <v>58</v>
      </c>
      <c r="AF12" s="7" t="s">
        <v>67</v>
      </c>
      <c r="AG12" s="7" t="s">
        <v>66</v>
      </c>
      <c r="AH12" s="7" t="s">
        <v>67</v>
      </c>
      <c r="AI12" s="7" t="s">
        <v>68</v>
      </c>
      <c r="AJ12" s="7" t="s">
        <v>73</v>
      </c>
      <c r="AK12" s="7" t="s">
        <v>69</v>
      </c>
      <c r="AL12" s="7">
        <v>4.0</v>
      </c>
      <c r="AM12" s="7">
        <v>3.0</v>
      </c>
      <c r="AN12" s="7">
        <v>3.0</v>
      </c>
      <c r="AO12" s="7">
        <v>3.0</v>
      </c>
      <c r="AP12" s="7">
        <v>4.0</v>
      </c>
      <c r="AQ12" s="7">
        <v>1.0</v>
      </c>
      <c r="AR12" s="7">
        <v>3.0</v>
      </c>
      <c r="AS12" s="7">
        <v>4.0</v>
      </c>
      <c r="AT12" s="7">
        <v>3.0</v>
      </c>
      <c r="AU12" s="7">
        <v>4.0</v>
      </c>
      <c r="AV12" s="7">
        <v>4.0</v>
      </c>
      <c r="AW12" s="7">
        <v>4.0</v>
      </c>
      <c r="AX12" s="7">
        <v>4.0</v>
      </c>
      <c r="AY12" s="7">
        <v>3.0</v>
      </c>
      <c r="AZ12" s="7">
        <v>3.0</v>
      </c>
      <c r="BA12" s="7">
        <v>3.0</v>
      </c>
      <c r="BB12" s="7" t="s">
        <v>70</v>
      </c>
      <c r="BC12" s="7">
        <v>5.0</v>
      </c>
      <c r="BD12" s="7">
        <v>6.0</v>
      </c>
      <c r="BE12" s="7" t="s">
        <v>130</v>
      </c>
    </row>
    <row r="13" ht="22.5" customHeight="1">
      <c r="A13" s="6">
        <v>46031.45709778935</v>
      </c>
      <c r="B13" s="7" t="s">
        <v>57</v>
      </c>
      <c r="C13" s="7" t="s">
        <v>58</v>
      </c>
      <c r="D13" s="7" t="s">
        <v>58</v>
      </c>
      <c r="E13" s="7" t="s">
        <v>59</v>
      </c>
      <c r="F13" s="7" t="s">
        <v>60</v>
      </c>
      <c r="G13" s="7" t="s">
        <v>61</v>
      </c>
      <c r="H13" s="7" t="s">
        <v>60</v>
      </c>
      <c r="I13" s="7" t="s">
        <v>60</v>
      </c>
      <c r="J13" s="7" t="s">
        <v>62</v>
      </c>
      <c r="K13" s="7" t="s">
        <v>63</v>
      </c>
      <c r="L13" s="7" t="s">
        <v>64</v>
      </c>
      <c r="M13" s="7" t="s">
        <v>65</v>
      </c>
      <c r="N13" s="7" t="s">
        <v>58</v>
      </c>
      <c r="O13" s="7" t="s">
        <v>67</v>
      </c>
      <c r="P13" s="7" t="s">
        <v>66</v>
      </c>
      <c r="Q13" s="7" t="s">
        <v>58</v>
      </c>
      <c r="R13" s="7" t="s">
        <v>58</v>
      </c>
      <c r="S13" s="7" t="s">
        <v>67</v>
      </c>
      <c r="T13" s="7" t="s">
        <v>58</v>
      </c>
      <c r="U13" s="7" t="s">
        <v>58</v>
      </c>
      <c r="V13" s="7" t="s">
        <v>67</v>
      </c>
      <c r="W13" s="7" t="s">
        <v>58</v>
      </c>
      <c r="X13" s="7" t="s">
        <v>58</v>
      </c>
      <c r="Y13" s="7" t="s">
        <v>67</v>
      </c>
      <c r="Z13" s="7" t="s">
        <v>58</v>
      </c>
      <c r="AA13" s="7" t="s">
        <v>66</v>
      </c>
      <c r="AB13" s="7" t="s">
        <v>58</v>
      </c>
      <c r="AC13" s="7" t="s">
        <v>67</v>
      </c>
      <c r="AD13" s="7" t="s">
        <v>58</v>
      </c>
      <c r="AE13" s="7" t="s">
        <v>58</v>
      </c>
      <c r="AF13" s="7" t="s">
        <v>67</v>
      </c>
      <c r="AG13" s="7" t="s">
        <v>66</v>
      </c>
      <c r="AH13" s="7" t="s">
        <v>58</v>
      </c>
      <c r="AI13" s="7" t="s">
        <v>68</v>
      </c>
      <c r="AJ13" s="7" t="s">
        <v>69</v>
      </c>
      <c r="AK13" s="7" t="s">
        <v>69</v>
      </c>
      <c r="AL13" s="7">
        <v>1.0</v>
      </c>
      <c r="AM13" s="7">
        <v>1.0</v>
      </c>
      <c r="AN13" s="7">
        <v>4.0</v>
      </c>
      <c r="AO13" s="7">
        <v>4.0</v>
      </c>
      <c r="AP13" s="7">
        <v>2.0</v>
      </c>
      <c r="AQ13" s="7">
        <v>1.0</v>
      </c>
      <c r="AR13" s="7">
        <v>5.0</v>
      </c>
      <c r="AS13" s="7">
        <v>3.0</v>
      </c>
      <c r="AT13" s="7">
        <v>1.0</v>
      </c>
      <c r="AU13" s="7">
        <v>2.0</v>
      </c>
      <c r="AV13" s="7">
        <v>5.0</v>
      </c>
      <c r="AW13" s="7">
        <v>4.0</v>
      </c>
      <c r="AX13" s="7">
        <v>4.0</v>
      </c>
      <c r="AY13" s="7">
        <v>3.0</v>
      </c>
      <c r="AZ13" s="7">
        <v>1.0</v>
      </c>
      <c r="BA13" s="7">
        <v>2.0</v>
      </c>
      <c r="BB13" s="7" t="s">
        <v>74</v>
      </c>
      <c r="BC13" s="7">
        <v>5.0</v>
      </c>
      <c r="BD13" s="7">
        <v>7.0</v>
      </c>
      <c r="BE13" s="7" t="s">
        <v>131</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7.13"/>
    <col customWidth="1" min="6" max="48" width="37.63"/>
    <col customWidth="1" min="49" max="49" width="31.5"/>
    <col customWidth="1" min="50" max="53" width="37.63"/>
    <col customWidth="1" min="54" max="54" width="18.88"/>
    <col customWidth="1" min="55" max="56" width="37.63"/>
    <col customWidth="1" min="57" max="63"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16</v>
      </c>
      <c r="Q1" s="3" t="s">
        <v>15</v>
      </c>
      <c r="R1" s="3" t="s">
        <v>17</v>
      </c>
      <c r="S1" s="3" t="s">
        <v>18</v>
      </c>
      <c r="T1" s="3" t="s">
        <v>19</v>
      </c>
      <c r="U1" s="3" t="s">
        <v>20</v>
      </c>
      <c r="V1" s="3" t="s">
        <v>21</v>
      </c>
      <c r="W1" s="3" t="s">
        <v>22</v>
      </c>
      <c r="X1" s="3" t="s">
        <v>25</v>
      </c>
      <c r="Y1" s="3" t="s">
        <v>23</v>
      </c>
      <c r="Z1" s="3" t="s">
        <v>24</v>
      </c>
      <c r="AA1" s="3" t="s">
        <v>26</v>
      </c>
      <c r="AB1" s="3" t="s">
        <v>27</v>
      </c>
      <c r="AC1" s="3" t="s">
        <v>33</v>
      </c>
      <c r="AD1" s="3" t="s">
        <v>28</v>
      </c>
      <c r="AE1" s="3" t="s">
        <v>29</v>
      </c>
      <c r="AF1" s="3" t="s">
        <v>30</v>
      </c>
      <c r="AG1" s="3" t="s">
        <v>31</v>
      </c>
      <c r="AH1" s="3" t="s">
        <v>32</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ht="22.5" customHeight="1">
      <c r="A2" s="4">
        <v>46020.65289457176</v>
      </c>
      <c r="B2" s="5" t="s">
        <v>57</v>
      </c>
      <c r="C2" s="5" t="s">
        <v>58</v>
      </c>
      <c r="D2" s="5" t="s">
        <v>58</v>
      </c>
      <c r="E2" s="5" t="s">
        <v>59</v>
      </c>
      <c r="F2" s="5" t="s">
        <v>60</v>
      </c>
      <c r="G2" s="5" t="s">
        <v>61</v>
      </c>
      <c r="H2" s="5" t="s">
        <v>60</v>
      </c>
      <c r="I2" s="5" t="s">
        <v>60</v>
      </c>
      <c r="J2" s="5" t="s">
        <v>62</v>
      </c>
      <c r="K2" s="5" t="s">
        <v>63</v>
      </c>
      <c r="L2" s="5" t="s">
        <v>64</v>
      </c>
      <c r="M2" s="5" t="s">
        <v>65</v>
      </c>
      <c r="N2" s="5" t="s">
        <v>58</v>
      </c>
      <c r="O2" s="5" t="s">
        <v>67</v>
      </c>
      <c r="P2" s="5" t="s">
        <v>58</v>
      </c>
      <c r="Q2" s="5" t="s">
        <v>66</v>
      </c>
      <c r="R2" s="5" t="s">
        <v>58</v>
      </c>
      <c r="S2" s="5" t="s">
        <v>58</v>
      </c>
      <c r="T2" s="5" t="s">
        <v>58</v>
      </c>
      <c r="U2" s="5" t="s">
        <v>58</v>
      </c>
      <c r="V2" s="5" t="s">
        <v>67</v>
      </c>
      <c r="W2" s="5" t="s">
        <v>58</v>
      </c>
      <c r="X2" s="5" t="s">
        <v>66</v>
      </c>
      <c r="Y2" s="5" t="s">
        <v>58</v>
      </c>
      <c r="Z2" s="5" t="s">
        <v>67</v>
      </c>
      <c r="AA2" s="5" t="s">
        <v>58</v>
      </c>
      <c r="AB2" s="5" t="s">
        <v>58</v>
      </c>
      <c r="AC2" s="5" t="s">
        <v>66</v>
      </c>
      <c r="AD2" s="5" t="s">
        <v>67</v>
      </c>
      <c r="AE2" s="5" t="s">
        <v>58</v>
      </c>
      <c r="AF2" s="5" t="s">
        <v>58</v>
      </c>
      <c r="AG2" s="5" t="s">
        <v>67</v>
      </c>
      <c r="AH2" s="5" t="s">
        <v>58</v>
      </c>
      <c r="AI2" s="5" t="s">
        <v>68</v>
      </c>
      <c r="AJ2" s="5" t="s">
        <v>69</v>
      </c>
      <c r="AK2" s="5" t="s">
        <v>69</v>
      </c>
      <c r="AL2" s="5">
        <v>4.0</v>
      </c>
      <c r="AM2" s="5">
        <v>5.0</v>
      </c>
      <c r="AN2" s="5">
        <v>2.0</v>
      </c>
      <c r="AO2" s="5">
        <v>1.0</v>
      </c>
      <c r="AP2" s="5">
        <v>5.0</v>
      </c>
      <c r="AQ2" s="5">
        <v>5.0</v>
      </c>
      <c r="AR2" s="5">
        <v>3.0</v>
      </c>
      <c r="AS2" s="5">
        <v>2.0</v>
      </c>
      <c r="AT2" s="5">
        <v>3.0</v>
      </c>
      <c r="AU2" s="5">
        <v>3.0</v>
      </c>
      <c r="AV2" s="5">
        <v>5.0</v>
      </c>
      <c r="AW2" s="5">
        <v>3.0</v>
      </c>
      <c r="AX2" s="5">
        <v>3.0</v>
      </c>
      <c r="AY2" s="5">
        <v>3.0</v>
      </c>
      <c r="AZ2" s="5">
        <v>2.0</v>
      </c>
      <c r="BA2" s="5">
        <v>4.0</v>
      </c>
      <c r="BB2" s="5" t="s">
        <v>70</v>
      </c>
      <c r="BC2" s="5">
        <v>5.0</v>
      </c>
      <c r="BD2" s="5">
        <v>6.0</v>
      </c>
      <c r="BE2" s="5" t="s">
        <v>132</v>
      </c>
    </row>
    <row r="3" ht="22.5" customHeight="1">
      <c r="A3" s="4">
        <v>46020.72068208334</v>
      </c>
      <c r="B3" s="5" t="s">
        <v>57</v>
      </c>
      <c r="C3" s="5" t="s">
        <v>58</v>
      </c>
      <c r="D3" s="5" t="s">
        <v>58</v>
      </c>
      <c r="E3" s="5" t="s">
        <v>59</v>
      </c>
      <c r="F3" s="5" t="s">
        <v>60</v>
      </c>
      <c r="G3" s="5" t="s">
        <v>61</v>
      </c>
      <c r="H3" s="5" t="s">
        <v>60</v>
      </c>
      <c r="I3" s="5" t="s">
        <v>60</v>
      </c>
      <c r="J3" s="5" t="s">
        <v>62</v>
      </c>
      <c r="K3" s="5" t="s">
        <v>63</v>
      </c>
      <c r="L3" s="5" t="s">
        <v>64</v>
      </c>
      <c r="M3" s="5" t="s">
        <v>65</v>
      </c>
      <c r="N3" s="5" t="s">
        <v>67</v>
      </c>
      <c r="O3" s="5" t="s">
        <v>58</v>
      </c>
      <c r="P3" s="5" t="s">
        <v>58</v>
      </c>
      <c r="Q3" s="5" t="s">
        <v>66</v>
      </c>
      <c r="R3" s="5" t="s">
        <v>67</v>
      </c>
      <c r="S3" s="5" t="s">
        <v>67</v>
      </c>
      <c r="T3" s="5" t="s">
        <v>67</v>
      </c>
      <c r="U3" s="5" t="s">
        <v>58</v>
      </c>
      <c r="V3" s="5" t="s">
        <v>67</v>
      </c>
      <c r="W3" s="5" t="s">
        <v>67</v>
      </c>
      <c r="X3" s="5" t="s">
        <v>66</v>
      </c>
      <c r="Y3" s="5" t="s">
        <v>67</v>
      </c>
      <c r="Z3" s="5" t="s">
        <v>67</v>
      </c>
      <c r="AA3" s="5" t="s">
        <v>58</v>
      </c>
      <c r="AB3" s="5" t="s">
        <v>58</v>
      </c>
      <c r="AC3" s="5" t="s">
        <v>66</v>
      </c>
      <c r="AD3" s="5" t="s">
        <v>67</v>
      </c>
      <c r="AE3" s="5" t="s">
        <v>58</v>
      </c>
      <c r="AF3" s="5" t="s">
        <v>58</v>
      </c>
      <c r="AG3" s="5" t="s">
        <v>58</v>
      </c>
      <c r="AH3" s="5" t="s">
        <v>58</v>
      </c>
      <c r="AI3" s="5" t="s">
        <v>68</v>
      </c>
      <c r="AJ3" s="5" t="s">
        <v>68</v>
      </c>
      <c r="AK3" s="5" t="s">
        <v>69</v>
      </c>
      <c r="AL3" s="5">
        <v>4.0</v>
      </c>
      <c r="AM3" s="5">
        <v>4.0</v>
      </c>
      <c r="AN3" s="5">
        <v>2.0</v>
      </c>
      <c r="AO3" s="5">
        <v>2.0</v>
      </c>
      <c r="AP3" s="5">
        <v>4.0</v>
      </c>
      <c r="AQ3" s="5">
        <v>4.0</v>
      </c>
      <c r="AR3" s="5">
        <v>3.0</v>
      </c>
      <c r="AS3" s="5">
        <v>5.0</v>
      </c>
      <c r="AT3" s="5">
        <v>1.0</v>
      </c>
      <c r="AU3" s="5">
        <v>5.0</v>
      </c>
      <c r="AV3" s="5">
        <v>3.0</v>
      </c>
      <c r="AW3" s="5">
        <v>4.0</v>
      </c>
      <c r="AX3" s="5">
        <v>3.0</v>
      </c>
      <c r="AY3" s="5">
        <v>3.0</v>
      </c>
      <c r="AZ3" s="5">
        <v>2.0</v>
      </c>
      <c r="BA3" s="5">
        <v>1.0</v>
      </c>
      <c r="BB3" s="5" t="s">
        <v>74</v>
      </c>
      <c r="BC3" s="5">
        <v>5.0</v>
      </c>
      <c r="BD3" s="5">
        <v>6.0</v>
      </c>
      <c r="BE3" s="5" t="s">
        <v>133</v>
      </c>
    </row>
    <row r="4" ht="22.5" customHeight="1">
      <c r="A4" s="4">
        <v>46020.78391657407</v>
      </c>
      <c r="B4" s="5" t="s">
        <v>57</v>
      </c>
      <c r="C4" s="5" t="s">
        <v>58</v>
      </c>
      <c r="D4" s="5" t="s">
        <v>58</v>
      </c>
      <c r="E4" s="5" t="s">
        <v>59</v>
      </c>
      <c r="F4" s="5" t="s">
        <v>60</v>
      </c>
      <c r="G4" s="5" t="s">
        <v>61</v>
      </c>
      <c r="H4" s="5" t="s">
        <v>60</v>
      </c>
      <c r="I4" s="5" t="s">
        <v>60</v>
      </c>
      <c r="J4" s="5" t="s">
        <v>62</v>
      </c>
      <c r="K4" s="5" t="s">
        <v>63</v>
      </c>
      <c r="L4" s="5" t="s">
        <v>64</v>
      </c>
      <c r="M4" s="5" t="s">
        <v>65</v>
      </c>
      <c r="N4" s="5" t="s">
        <v>67</v>
      </c>
      <c r="O4" s="5" t="s">
        <v>58</v>
      </c>
      <c r="P4" s="5" t="s">
        <v>58</v>
      </c>
      <c r="Q4" s="5" t="s">
        <v>66</v>
      </c>
      <c r="R4" s="5" t="s">
        <v>58</v>
      </c>
      <c r="S4" s="5" t="s">
        <v>67</v>
      </c>
      <c r="T4" s="5" t="s">
        <v>58</v>
      </c>
      <c r="U4" s="5" t="s">
        <v>58</v>
      </c>
      <c r="V4" s="5" t="s">
        <v>67</v>
      </c>
      <c r="W4" s="5" t="s">
        <v>58</v>
      </c>
      <c r="X4" s="5" t="s">
        <v>66</v>
      </c>
      <c r="Y4" s="5" t="s">
        <v>67</v>
      </c>
      <c r="Z4" s="5" t="s">
        <v>58</v>
      </c>
      <c r="AA4" s="5" t="s">
        <v>58</v>
      </c>
      <c r="AB4" s="5" t="s">
        <v>58</v>
      </c>
      <c r="AC4" s="5" t="s">
        <v>66</v>
      </c>
      <c r="AD4" s="5" t="s">
        <v>67</v>
      </c>
      <c r="AE4" s="5" t="s">
        <v>67</v>
      </c>
      <c r="AF4" s="5" t="s">
        <v>58</v>
      </c>
      <c r="AG4" s="5" t="s">
        <v>67</v>
      </c>
      <c r="AH4" s="5" t="s">
        <v>58</v>
      </c>
      <c r="AI4" s="5" t="s">
        <v>77</v>
      </c>
      <c r="AJ4" s="5" t="s">
        <v>69</v>
      </c>
      <c r="AK4" s="5" t="s">
        <v>69</v>
      </c>
      <c r="AL4" s="5">
        <v>3.0</v>
      </c>
      <c r="AM4" s="5">
        <v>3.0</v>
      </c>
      <c r="AN4" s="5">
        <v>3.0</v>
      </c>
      <c r="AO4" s="5">
        <v>2.0</v>
      </c>
      <c r="AP4" s="5">
        <v>4.0</v>
      </c>
      <c r="AQ4" s="5">
        <v>4.0</v>
      </c>
      <c r="AR4" s="5">
        <v>4.0</v>
      </c>
      <c r="AS4" s="5">
        <v>5.0</v>
      </c>
      <c r="AT4" s="5">
        <v>1.0</v>
      </c>
      <c r="AU4" s="5">
        <v>5.0</v>
      </c>
      <c r="AV4" s="5">
        <v>3.0</v>
      </c>
      <c r="AW4" s="5">
        <v>4.0</v>
      </c>
      <c r="AX4" s="5">
        <v>1.0</v>
      </c>
      <c r="AY4" s="5">
        <v>3.0</v>
      </c>
      <c r="AZ4" s="5">
        <v>2.0</v>
      </c>
      <c r="BA4" s="5">
        <v>4.0</v>
      </c>
      <c r="BB4" s="5" t="s">
        <v>70</v>
      </c>
      <c r="BC4" s="5">
        <v>3.0</v>
      </c>
      <c r="BD4" s="5">
        <v>4.0</v>
      </c>
      <c r="BE4" s="5" t="s">
        <v>134</v>
      </c>
    </row>
    <row r="5" ht="22.5" customHeight="1">
      <c r="A5" s="4">
        <v>46020.81271650463</v>
      </c>
      <c r="B5" s="5" t="s">
        <v>57</v>
      </c>
      <c r="C5" s="5" t="s">
        <v>58</v>
      </c>
      <c r="D5" s="5" t="s">
        <v>58</v>
      </c>
      <c r="E5" s="5" t="s">
        <v>59</v>
      </c>
      <c r="F5" s="5" t="s">
        <v>60</v>
      </c>
      <c r="G5" s="5" t="s">
        <v>61</v>
      </c>
      <c r="H5" s="5" t="s">
        <v>60</v>
      </c>
      <c r="I5" s="5" t="s">
        <v>60</v>
      </c>
      <c r="J5" s="5" t="s">
        <v>62</v>
      </c>
      <c r="K5" s="5" t="s">
        <v>63</v>
      </c>
      <c r="L5" s="5" t="s">
        <v>64</v>
      </c>
      <c r="M5" s="5" t="s">
        <v>65</v>
      </c>
      <c r="N5" s="5" t="s">
        <v>58</v>
      </c>
      <c r="O5" s="5" t="s">
        <v>67</v>
      </c>
      <c r="P5" s="5" t="s">
        <v>58</v>
      </c>
      <c r="Q5" s="5" t="s">
        <v>58</v>
      </c>
      <c r="R5" s="5" t="s">
        <v>58</v>
      </c>
      <c r="S5" s="5" t="s">
        <v>67</v>
      </c>
      <c r="T5" s="5" t="s">
        <v>67</v>
      </c>
      <c r="U5" s="5" t="s">
        <v>58</v>
      </c>
      <c r="V5" s="5" t="s">
        <v>67</v>
      </c>
      <c r="W5" s="5" t="s">
        <v>67</v>
      </c>
      <c r="X5" s="5" t="s">
        <v>66</v>
      </c>
      <c r="Y5" s="5" t="s">
        <v>58</v>
      </c>
      <c r="Z5" s="5" t="s">
        <v>67</v>
      </c>
      <c r="AA5" s="5" t="s">
        <v>67</v>
      </c>
      <c r="AB5" s="5" t="s">
        <v>58</v>
      </c>
      <c r="AC5" s="5" t="s">
        <v>66</v>
      </c>
      <c r="AD5" s="5" t="s">
        <v>67</v>
      </c>
      <c r="AE5" s="5" t="s">
        <v>67</v>
      </c>
      <c r="AF5" s="5" t="s">
        <v>58</v>
      </c>
      <c r="AG5" s="5" t="s">
        <v>67</v>
      </c>
      <c r="AH5" s="5" t="s">
        <v>67</v>
      </c>
      <c r="AI5" s="5" t="s">
        <v>72</v>
      </c>
      <c r="AJ5" s="5" t="s">
        <v>73</v>
      </c>
      <c r="AK5" s="5" t="s">
        <v>73</v>
      </c>
      <c r="AL5" s="5">
        <v>2.0</v>
      </c>
      <c r="AM5" s="5">
        <v>2.0</v>
      </c>
      <c r="AN5" s="5">
        <v>3.0</v>
      </c>
      <c r="AO5" s="5">
        <v>3.0</v>
      </c>
      <c r="AP5" s="5">
        <v>2.0</v>
      </c>
      <c r="AQ5" s="5">
        <v>3.0</v>
      </c>
      <c r="AR5" s="5">
        <v>1.0</v>
      </c>
      <c r="AS5" s="5">
        <v>5.0</v>
      </c>
      <c r="AT5" s="5">
        <v>2.0</v>
      </c>
      <c r="AU5" s="5">
        <v>5.0</v>
      </c>
      <c r="AV5" s="5">
        <v>3.0</v>
      </c>
      <c r="AW5" s="5">
        <v>5.0</v>
      </c>
      <c r="AX5" s="5">
        <v>1.0</v>
      </c>
      <c r="AY5" s="5">
        <v>5.0</v>
      </c>
      <c r="AZ5" s="5">
        <v>1.0</v>
      </c>
      <c r="BA5" s="5">
        <v>5.0</v>
      </c>
      <c r="BB5" s="5" t="s">
        <v>74</v>
      </c>
      <c r="BC5" s="5">
        <v>4.0</v>
      </c>
      <c r="BD5" s="5">
        <v>3.0</v>
      </c>
      <c r="BE5" s="5" t="s">
        <v>135</v>
      </c>
    </row>
    <row r="6" ht="22.5" customHeight="1">
      <c r="A6" s="4">
        <v>46020.88270274305</v>
      </c>
      <c r="B6" s="5" t="s">
        <v>57</v>
      </c>
      <c r="C6" s="5" t="s">
        <v>58</v>
      </c>
      <c r="D6" s="5" t="s">
        <v>58</v>
      </c>
      <c r="E6" s="5" t="s">
        <v>59</v>
      </c>
      <c r="F6" s="5" t="s">
        <v>60</v>
      </c>
      <c r="G6" s="5" t="s">
        <v>61</v>
      </c>
      <c r="H6" s="5" t="s">
        <v>60</v>
      </c>
      <c r="I6" s="5" t="s">
        <v>60</v>
      </c>
      <c r="J6" s="5" t="s">
        <v>62</v>
      </c>
      <c r="K6" s="5" t="s">
        <v>63</v>
      </c>
      <c r="L6" s="5" t="s">
        <v>64</v>
      </c>
      <c r="M6" s="5" t="s">
        <v>65</v>
      </c>
      <c r="N6" s="5" t="s">
        <v>67</v>
      </c>
      <c r="O6" s="5" t="s">
        <v>58</v>
      </c>
      <c r="P6" s="5" t="s">
        <v>58</v>
      </c>
      <c r="Q6" s="5" t="s">
        <v>58</v>
      </c>
      <c r="R6" s="5" t="s">
        <v>67</v>
      </c>
      <c r="S6" s="5" t="s">
        <v>67</v>
      </c>
      <c r="T6" s="5" t="s">
        <v>58</v>
      </c>
      <c r="U6" s="5" t="s">
        <v>67</v>
      </c>
      <c r="V6" s="5" t="s">
        <v>67</v>
      </c>
      <c r="W6" s="5" t="s">
        <v>58</v>
      </c>
      <c r="X6" s="5" t="s">
        <v>66</v>
      </c>
      <c r="Y6" s="5" t="s">
        <v>58</v>
      </c>
      <c r="Z6" s="5" t="s">
        <v>67</v>
      </c>
      <c r="AA6" s="5" t="s">
        <v>67</v>
      </c>
      <c r="AB6" s="5" t="s">
        <v>67</v>
      </c>
      <c r="AC6" s="5" t="s">
        <v>66</v>
      </c>
      <c r="AD6" s="5" t="s">
        <v>58</v>
      </c>
      <c r="AE6" s="5" t="s">
        <v>58</v>
      </c>
      <c r="AF6" s="5" t="s">
        <v>67</v>
      </c>
      <c r="AG6" s="5" t="s">
        <v>67</v>
      </c>
      <c r="AH6" s="5" t="s">
        <v>58</v>
      </c>
      <c r="AI6" s="5" t="s">
        <v>72</v>
      </c>
      <c r="AJ6" s="5" t="s">
        <v>69</v>
      </c>
      <c r="AK6" s="5" t="s">
        <v>69</v>
      </c>
      <c r="AL6" s="5">
        <v>3.0</v>
      </c>
      <c r="AM6" s="5">
        <v>4.0</v>
      </c>
      <c r="AN6" s="5">
        <v>2.0</v>
      </c>
      <c r="AO6" s="5">
        <v>1.0</v>
      </c>
      <c r="AP6" s="5">
        <v>5.0</v>
      </c>
      <c r="AQ6" s="5">
        <v>5.0</v>
      </c>
      <c r="AR6" s="5">
        <v>3.0</v>
      </c>
      <c r="AS6" s="5">
        <v>5.0</v>
      </c>
      <c r="AT6" s="5">
        <v>3.0</v>
      </c>
      <c r="AU6" s="5">
        <v>4.0</v>
      </c>
      <c r="AV6" s="5">
        <v>2.0</v>
      </c>
      <c r="AW6" s="5">
        <v>4.0</v>
      </c>
      <c r="AX6" s="5">
        <v>2.0</v>
      </c>
      <c r="AY6" s="5">
        <v>2.0</v>
      </c>
      <c r="AZ6" s="5">
        <v>3.0</v>
      </c>
      <c r="BA6" s="5">
        <v>5.0</v>
      </c>
      <c r="BB6" s="5" t="s">
        <v>70</v>
      </c>
      <c r="BC6" s="5">
        <v>4.0</v>
      </c>
      <c r="BD6" s="5">
        <v>8.0</v>
      </c>
      <c r="BE6" s="5" t="s">
        <v>136</v>
      </c>
    </row>
    <row r="7" ht="22.5" customHeight="1">
      <c r="A7" s="4">
        <v>46021.59965607639</v>
      </c>
      <c r="B7" s="5" t="s">
        <v>57</v>
      </c>
      <c r="C7" s="5" t="s">
        <v>58</v>
      </c>
      <c r="D7" s="5" t="s">
        <v>58</v>
      </c>
      <c r="E7" s="5" t="s">
        <v>59</v>
      </c>
      <c r="F7" s="5" t="s">
        <v>60</v>
      </c>
      <c r="G7" s="5" t="s">
        <v>61</v>
      </c>
      <c r="H7" s="5" t="s">
        <v>60</v>
      </c>
      <c r="I7" s="5" t="s">
        <v>60</v>
      </c>
      <c r="J7" s="5" t="s">
        <v>62</v>
      </c>
      <c r="K7" s="5" t="s">
        <v>63</v>
      </c>
      <c r="L7" s="5" t="s">
        <v>64</v>
      </c>
      <c r="M7" s="5" t="s">
        <v>65</v>
      </c>
      <c r="N7" s="5" t="s">
        <v>67</v>
      </c>
      <c r="O7" s="5" t="s">
        <v>67</v>
      </c>
      <c r="P7" s="5" t="s">
        <v>58</v>
      </c>
      <c r="Q7" s="5" t="s">
        <v>66</v>
      </c>
      <c r="R7" s="5" t="s">
        <v>58</v>
      </c>
      <c r="S7" s="5" t="s">
        <v>67</v>
      </c>
      <c r="T7" s="5" t="s">
        <v>58</v>
      </c>
      <c r="U7" s="5" t="s">
        <v>58</v>
      </c>
      <c r="V7" s="5" t="s">
        <v>67</v>
      </c>
      <c r="W7" s="5" t="s">
        <v>58</v>
      </c>
      <c r="X7" s="5" t="s">
        <v>66</v>
      </c>
      <c r="Y7" s="5" t="s">
        <v>58</v>
      </c>
      <c r="Z7" s="5" t="s">
        <v>67</v>
      </c>
      <c r="AA7" s="5" t="s">
        <v>58</v>
      </c>
      <c r="AB7" s="5" t="s">
        <v>67</v>
      </c>
      <c r="AC7" s="5" t="s">
        <v>66</v>
      </c>
      <c r="AD7" s="5" t="s">
        <v>67</v>
      </c>
      <c r="AE7" s="5" t="s">
        <v>58</v>
      </c>
      <c r="AF7" s="5" t="s">
        <v>58</v>
      </c>
      <c r="AG7" s="5" t="s">
        <v>67</v>
      </c>
      <c r="AH7" s="5" t="s">
        <v>58</v>
      </c>
      <c r="AI7" s="5" t="s">
        <v>77</v>
      </c>
      <c r="AJ7" s="5" t="s">
        <v>69</v>
      </c>
      <c r="AK7" s="5" t="s">
        <v>69</v>
      </c>
      <c r="AL7" s="5">
        <v>4.0</v>
      </c>
      <c r="AM7" s="5">
        <v>3.0</v>
      </c>
      <c r="AN7" s="5">
        <v>1.0</v>
      </c>
      <c r="AO7" s="5">
        <v>1.0</v>
      </c>
      <c r="AP7" s="5">
        <v>4.0</v>
      </c>
      <c r="AQ7" s="5">
        <v>3.0</v>
      </c>
      <c r="AR7" s="5">
        <v>2.0</v>
      </c>
      <c r="AS7" s="5">
        <v>4.0</v>
      </c>
      <c r="AT7" s="5">
        <v>2.0</v>
      </c>
      <c r="AU7" s="5">
        <v>3.0</v>
      </c>
      <c r="AV7" s="5">
        <v>3.0</v>
      </c>
      <c r="AW7" s="5">
        <v>4.0</v>
      </c>
      <c r="AX7" s="5">
        <v>4.0</v>
      </c>
      <c r="AY7" s="5">
        <v>4.0</v>
      </c>
      <c r="AZ7" s="5">
        <v>3.0</v>
      </c>
      <c r="BA7" s="5">
        <v>3.0</v>
      </c>
      <c r="BB7" s="5" t="s">
        <v>70</v>
      </c>
      <c r="BC7" s="5">
        <v>4.0</v>
      </c>
      <c r="BD7" s="5">
        <v>6.0</v>
      </c>
      <c r="BE7" s="5" t="s">
        <v>137</v>
      </c>
    </row>
    <row r="8" ht="22.5" customHeight="1">
      <c r="A8" s="4">
        <v>46021.627131180554</v>
      </c>
      <c r="B8" s="5" t="s">
        <v>57</v>
      </c>
      <c r="C8" s="5" t="s">
        <v>58</v>
      </c>
      <c r="D8" s="5" t="s">
        <v>58</v>
      </c>
      <c r="E8" s="5" t="s">
        <v>59</v>
      </c>
      <c r="F8" s="5" t="s">
        <v>60</v>
      </c>
      <c r="G8" s="5" t="s">
        <v>61</v>
      </c>
      <c r="H8" s="5" t="s">
        <v>60</v>
      </c>
      <c r="I8" s="5" t="s">
        <v>60</v>
      </c>
      <c r="J8" s="5" t="s">
        <v>62</v>
      </c>
      <c r="K8" s="5" t="s">
        <v>63</v>
      </c>
      <c r="L8" s="5" t="s">
        <v>64</v>
      </c>
      <c r="M8" s="5" t="s">
        <v>65</v>
      </c>
      <c r="N8" s="5" t="s">
        <v>67</v>
      </c>
      <c r="O8" s="5" t="s">
        <v>67</v>
      </c>
      <c r="P8" s="5" t="s">
        <v>67</v>
      </c>
      <c r="Q8" s="5" t="s">
        <v>66</v>
      </c>
      <c r="R8" s="5" t="s">
        <v>67</v>
      </c>
      <c r="S8" s="5" t="s">
        <v>67</v>
      </c>
      <c r="T8" s="5" t="s">
        <v>67</v>
      </c>
      <c r="U8" s="5" t="s">
        <v>67</v>
      </c>
      <c r="V8" s="5" t="s">
        <v>67</v>
      </c>
      <c r="W8" s="5" t="s">
        <v>67</v>
      </c>
      <c r="X8" s="5" t="s">
        <v>67</v>
      </c>
      <c r="Y8" s="5" t="s">
        <v>67</v>
      </c>
      <c r="Z8" s="5" t="s">
        <v>67</v>
      </c>
      <c r="AA8" s="5" t="s">
        <v>67</v>
      </c>
      <c r="AB8" s="5" t="s">
        <v>67</v>
      </c>
      <c r="AC8" s="5" t="s">
        <v>66</v>
      </c>
      <c r="AD8" s="5" t="s">
        <v>67</v>
      </c>
      <c r="AE8" s="5" t="s">
        <v>67</v>
      </c>
      <c r="AF8" s="5" t="s">
        <v>58</v>
      </c>
      <c r="AG8" s="5" t="s">
        <v>67</v>
      </c>
      <c r="AH8" s="5" t="s">
        <v>67</v>
      </c>
      <c r="AI8" s="5" t="s">
        <v>72</v>
      </c>
      <c r="AJ8" s="5" t="s">
        <v>73</v>
      </c>
      <c r="AK8" s="5" t="s">
        <v>69</v>
      </c>
      <c r="AL8" s="5">
        <v>3.0</v>
      </c>
      <c r="AM8" s="5">
        <v>2.0</v>
      </c>
      <c r="AN8" s="5">
        <v>4.0</v>
      </c>
      <c r="AO8" s="5">
        <v>3.0</v>
      </c>
      <c r="AP8" s="5">
        <v>4.0</v>
      </c>
      <c r="AQ8" s="5">
        <v>3.0</v>
      </c>
      <c r="AR8" s="5">
        <v>1.0</v>
      </c>
      <c r="AS8" s="5">
        <v>5.0</v>
      </c>
      <c r="AT8" s="5">
        <v>1.0</v>
      </c>
      <c r="AU8" s="5">
        <v>5.0</v>
      </c>
      <c r="AV8" s="5">
        <v>4.0</v>
      </c>
      <c r="AW8" s="5">
        <v>5.0</v>
      </c>
      <c r="AX8" s="5">
        <v>1.0</v>
      </c>
      <c r="AY8" s="5">
        <v>4.0</v>
      </c>
      <c r="AZ8" s="5">
        <v>1.0</v>
      </c>
      <c r="BA8" s="5">
        <v>5.0</v>
      </c>
      <c r="BB8" s="5" t="s">
        <v>70</v>
      </c>
      <c r="BC8" s="5">
        <v>2.0</v>
      </c>
      <c r="BD8" s="5">
        <v>4.0</v>
      </c>
      <c r="BE8" s="5" t="s">
        <v>138</v>
      </c>
    </row>
    <row r="9" ht="22.5" customHeight="1">
      <c r="A9" s="4">
        <v>46022.44726233796</v>
      </c>
      <c r="B9" s="5" t="s">
        <v>57</v>
      </c>
      <c r="C9" s="5" t="s">
        <v>58</v>
      </c>
      <c r="D9" s="5" t="s">
        <v>58</v>
      </c>
      <c r="E9" s="5" t="s">
        <v>59</v>
      </c>
      <c r="F9" s="5" t="s">
        <v>60</v>
      </c>
      <c r="G9" s="5" t="s">
        <v>61</v>
      </c>
      <c r="H9" s="5" t="s">
        <v>60</v>
      </c>
      <c r="I9" s="5" t="s">
        <v>60</v>
      </c>
      <c r="J9" s="5" t="s">
        <v>62</v>
      </c>
      <c r="K9" s="5" t="s">
        <v>63</v>
      </c>
      <c r="L9" s="5" t="s">
        <v>64</v>
      </c>
      <c r="M9" s="5" t="s">
        <v>65</v>
      </c>
      <c r="N9" s="5" t="s">
        <v>67</v>
      </c>
      <c r="O9" s="5" t="s">
        <v>67</v>
      </c>
      <c r="P9" s="5" t="s">
        <v>58</v>
      </c>
      <c r="Q9" s="5" t="s">
        <v>66</v>
      </c>
      <c r="R9" s="5" t="s">
        <v>58</v>
      </c>
      <c r="S9" s="5" t="s">
        <v>58</v>
      </c>
      <c r="T9" s="5" t="s">
        <v>67</v>
      </c>
      <c r="U9" s="5" t="s">
        <v>58</v>
      </c>
      <c r="V9" s="5" t="s">
        <v>67</v>
      </c>
      <c r="W9" s="5" t="s">
        <v>58</v>
      </c>
      <c r="X9" s="5" t="s">
        <v>66</v>
      </c>
      <c r="Y9" s="5" t="s">
        <v>58</v>
      </c>
      <c r="Z9" s="5" t="s">
        <v>58</v>
      </c>
      <c r="AA9" s="5" t="s">
        <v>58</v>
      </c>
      <c r="AB9" s="5" t="s">
        <v>58</v>
      </c>
      <c r="AC9" s="5" t="s">
        <v>66</v>
      </c>
      <c r="AD9" s="5" t="s">
        <v>67</v>
      </c>
      <c r="AE9" s="5" t="s">
        <v>58</v>
      </c>
      <c r="AF9" s="5" t="s">
        <v>67</v>
      </c>
      <c r="AG9" s="5" t="s">
        <v>67</v>
      </c>
      <c r="AH9" s="5" t="s">
        <v>67</v>
      </c>
      <c r="AI9" s="5" t="s">
        <v>68</v>
      </c>
      <c r="AJ9" s="5" t="s">
        <v>69</v>
      </c>
      <c r="AK9" s="5" t="s">
        <v>69</v>
      </c>
      <c r="AL9" s="5">
        <v>4.0</v>
      </c>
      <c r="AM9" s="5">
        <v>4.0</v>
      </c>
      <c r="AN9" s="5">
        <v>3.0</v>
      </c>
      <c r="AO9" s="5">
        <v>3.0</v>
      </c>
      <c r="AP9" s="5">
        <v>5.0</v>
      </c>
      <c r="AQ9" s="5">
        <v>4.0</v>
      </c>
      <c r="AR9" s="5">
        <v>4.0</v>
      </c>
      <c r="AS9" s="5">
        <v>3.0</v>
      </c>
      <c r="AT9" s="5">
        <v>3.0</v>
      </c>
      <c r="AU9" s="5">
        <v>4.0</v>
      </c>
      <c r="AV9" s="5">
        <v>5.0</v>
      </c>
      <c r="AW9" s="5">
        <v>3.0</v>
      </c>
      <c r="AX9" s="5">
        <v>4.0</v>
      </c>
      <c r="AY9" s="5">
        <v>4.0</v>
      </c>
      <c r="AZ9" s="5">
        <v>3.0</v>
      </c>
      <c r="BA9" s="5">
        <v>2.0</v>
      </c>
      <c r="BB9" s="5" t="s">
        <v>74</v>
      </c>
      <c r="BC9" s="5">
        <v>4.0</v>
      </c>
      <c r="BD9" s="5">
        <v>5.0</v>
      </c>
      <c r="BE9" s="5" t="s">
        <v>139</v>
      </c>
    </row>
    <row r="10" ht="22.5" customHeight="1">
      <c r="A10" s="6">
        <v>46022.89091429398</v>
      </c>
      <c r="B10" s="7" t="s">
        <v>57</v>
      </c>
      <c r="C10" s="7" t="s">
        <v>58</v>
      </c>
      <c r="D10" s="7" t="s">
        <v>58</v>
      </c>
      <c r="E10" s="7" t="s">
        <v>59</v>
      </c>
      <c r="F10" s="7" t="s">
        <v>60</v>
      </c>
      <c r="G10" s="7" t="s">
        <v>61</v>
      </c>
      <c r="H10" s="7" t="s">
        <v>60</v>
      </c>
      <c r="I10" s="7" t="s">
        <v>60</v>
      </c>
      <c r="J10" s="7" t="s">
        <v>62</v>
      </c>
      <c r="K10" s="7" t="s">
        <v>63</v>
      </c>
      <c r="L10" s="7" t="s">
        <v>64</v>
      </c>
      <c r="M10" s="7" t="s">
        <v>65</v>
      </c>
      <c r="N10" s="7" t="s">
        <v>58</v>
      </c>
      <c r="O10" s="7" t="s">
        <v>67</v>
      </c>
      <c r="P10" s="7" t="s">
        <v>58</v>
      </c>
      <c r="Q10" s="7" t="s">
        <v>66</v>
      </c>
      <c r="R10" s="7" t="s">
        <v>67</v>
      </c>
      <c r="S10" s="7" t="s">
        <v>58</v>
      </c>
      <c r="T10" s="7" t="s">
        <v>58</v>
      </c>
      <c r="U10" s="7" t="s">
        <v>58</v>
      </c>
      <c r="V10" s="7" t="s">
        <v>67</v>
      </c>
      <c r="W10" s="7" t="s">
        <v>58</v>
      </c>
      <c r="X10" s="7" t="s">
        <v>66</v>
      </c>
      <c r="Y10" s="7" t="s">
        <v>67</v>
      </c>
      <c r="Z10" s="7" t="s">
        <v>67</v>
      </c>
      <c r="AA10" s="7" t="s">
        <v>58</v>
      </c>
      <c r="AB10" s="7" t="s">
        <v>58</v>
      </c>
      <c r="AC10" s="7" t="s">
        <v>67</v>
      </c>
      <c r="AD10" s="7" t="s">
        <v>67</v>
      </c>
      <c r="AE10" s="7" t="s">
        <v>58</v>
      </c>
      <c r="AF10" s="7" t="s">
        <v>58</v>
      </c>
      <c r="AG10" s="7" t="s">
        <v>67</v>
      </c>
      <c r="AH10" s="7" t="s">
        <v>58</v>
      </c>
      <c r="AI10" s="7" t="s">
        <v>72</v>
      </c>
      <c r="AJ10" s="7" t="s">
        <v>69</v>
      </c>
      <c r="AK10" s="7" t="s">
        <v>69</v>
      </c>
      <c r="AL10" s="7">
        <v>4.0</v>
      </c>
      <c r="AM10" s="7">
        <v>4.0</v>
      </c>
      <c r="AN10" s="7">
        <v>2.0</v>
      </c>
      <c r="AO10" s="7">
        <v>2.0</v>
      </c>
      <c r="AP10" s="7">
        <v>4.0</v>
      </c>
      <c r="AQ10" s="7">
        <v>4.0</v>
      </c>
      <c r="AR10" s="7">
        <v>1.0</v>
      </c>
      <c r="AS10" s="7">
        <v>4.0</v>
      </c>
      <c r="AT10" s="7">
        <v>1.0</v>
      </c>
      <c r="AU10" s="7">
        <v>4.0</v>
      </c>
      <c r="AV10" s="7">
        <v>4.0</v>
      </c>
      <c r="AW10" s="7">
        <v>3.0</v>
      </c>
      <c r="AX10" s="7">
        <v>1.0</v>
      </c>
      <c r="AY10" s="7">
        <v>2.0</v>
      </c>
      <c r="AZ10" s="7">
        <v>3.0</v>
      </c>
      <c r="BA10" s="7">
        <v>3.0</v>
      </c>
      <c r="BB10" s="7" t="s">
        <v>70</v>
      </c>
      <c r="BC10" s="7">
        <v>4.0</v>
      </c>
      <c r="BD10" s="7">
        <v>8.0</v>
      </c>
      <c r="BE10" s="7" t="s">
        <v>140</v>
      </c>
    </row>
    <row r="11" ht="22.5" customHeight="1">
      <c r="A11" s="6">
        <v>46024.37986758102</v>
      </c>
      <c r="B11" s="7" t="s">
        <v>57</v>
      </c>
      <c r="C11" s="7" t="s">
        <v>58</v>
      </c>
      <c r="D11" s="7" t="s">
        <v>58</v>
      </c>
      <c r="E11" s="7" t="s">
        <v>59</v>
      </c>
      <c r="F11" s="7" t="s">
        <v>60</v>
      </c>
      <c r="G11" s="7" t="s">
        <v>61</v>
      </c>
      <c r="H11" s="7" t="s">
        <v>60</v>
      </c>
      <c r="I11" s="7" t="s">
        <v>60</v>
      </c>
      <c r="J11" s="7" t="s">
        <v>62</v>
      </c>
      <c r="K11" s="7" t="s">
        <v>63</v>
      </c>
      <c r="L11" s="7" t="s">
        <v>64</v>
      </c>
      <c r="M11" s="7" t="s">
        <v>65</v>
      </c>
      <c r="N11" s="7" t="s">
        <v>67</v>
      </c>
      <c r="O11" s="7" t="s">
        <v>67</v>
      </c>
      <c r="P11" s="7" t="s">
        <v>58</v>
      </c>
      <c r="Q11" s="7" t="s">
        <v>66</v>
      </c>
      <c r="R11" s="7" t="s">
        <v>67</v>
      </c>
      <c r="S11" s="7" t="s">
        <v>58</v>
      </c>
      <c r="T11" s="7" t="s">
        <v>58</v>
      </c>
      <c r="U11" s="7" t="s">
        <v>67</v>
      </c>
      <c r="V11" s="7" t="s">
        <v>67</v>
      </c>
      <c r="W11" s="7" t="s">
        <v>67</v>
      </c>
      <c r="X11" s="7" t="s">
        <v>66</v>
      </c>
      <c r="Y11" s="7" t="s">
        <v>58</v>
      </c>
      <c r="Z11" s="7" t="s">
        <v>58</v>
      </c>
      <c r="AA11" s="7" t="s">
        <v>58</v>
      </c>
      <c r="AB11" s="7" t="s">
        <v>58</v>
      </c>
      <c r="AC11" s="7" t="s">
        <v>66</v>
      </c>
      <c r="AD11" s="7" t="s">
        <v>67</v>
      </c>
      <c r="AE11" s="7" t="s">
        <v>67</v>
      </c>
      <c r="AF11" s="7" t="s">
        <v>67</v>
      </c>
      <c r="AG11" s="7" t="s">
        <v>58</v>
      </c>
      <c r="AH11" s="7" t="s">
        <v>58</v>
      </c>
      <c r="AI11" s="7" t="s">
        <v>68</v>
      </c>
      <c r="AJ11" s="7" t="s">
        <v>73</v>
      </c>
      <c r="AK11" s="7" t="s">
        <v>73</v>
      </c>
      <c r="AL11" s="7">
        <v>4.0</v>
      </c>
      <c r="AM11" s="7">
        <v>3.0</v>
      </c>
      <c r="AN11" s="7">
        <v>1.0</v>
      </c>
      <c r="AO11" s="7">
        <v>1.0</v>
      </c>
      <c r="AP11" s="7">
        <v>4.0</v>
      </c>
      <c r="AQ11" s="7">
        <v>4.0</v>
      </c>
      <c r="AR11" s="7">
        <v>1.0</v>
      </c>
      <c r="AS11" s="7">
        <v>5.0</v>
      </c>
      <c r="AT11" s="7">
        <v>1.0</v>
      </c>
      <c r="AU11" s="7">
        <v>5.0</v>
      </c>
      <c r="AV11" s="7">
        <v>2.0</v>
      </c>
      <c r="AW11" s="7">
        <v>5.0</v>
      </c>
      <c r="AX11" s="7">
        <v>1.0</v>
      </c>
      <c r="AY11" s="7">
        <v>5.0</v>
      </c>
      <c r="AZ11" s="7">
        <v>1.0</v>
      </c>
      <c r="BA11" s="7">
        <v>1.0</v>
      </c>
      <c r="BB11" s="7" t="s">
        <v>70</v>
      </c>
      <c r="BC11" s="7">
        <v>5.0</v>
      </c>
      <c r="BD11" s="7">
        <v>6.0</v>
      </c>
      <c r="BE11" s="7" t="s">
        <v>141</v>
      </c>
    </row>
    <row r="12" ht="22.5" customHeight="1">
      <c r="A12" s="6">
        <v>46024.59373146991</v>
      </c>
      <c r="B12" s="7" t="s">
        <v>57</v>
      </c>
      <c r="C12" s="7" t="s">
        <v>58</v>
      </c>
      <c r="D12" s="7" t="s">
        <v>58</v>
      </c>
      <c r="E12" s="7" t="s">
        <v>59</v>
      </c>
      <c r="F12" s="7" t="s">
        <v>60</v>
      </c>
      <c r="G12" s="7" t="s">
        <v>61</v>
      </c>
      <c r="H12" s="7" t="s">
        <v>60</v>
      </c>
      <c r="I12" s="7" t="s">
        <v>60</v>
      </c>
      <c r="J12" s="7" t="s">
        <v>62</v>
      </c>
      <c r="K12" s="7" t="s">
        <v>63</v>
      </c>
      <c r="L12" s="7" t="s">
        <v>64</v>
      </c>
      <c r="M12" s="7" t="s">
        <v>65</v>
      </c>
      <c r="N12" s="7" t="s">
        <v>58</v>
      </c>
      <c r="O12" s="7" t="s">
        <v>67</v>
      </c>
      <c r="P12" s="7" t="s">
        <v>58</v>
      </c>
      <c r="Q12" s="7" t="s">
        <v>66</v>
      </c>
      <c r="R12" s="7" t="s">
        <v>58</v>
      </c>
      <c r="S12" s="7" t="s">
        <v>67</v>
      </c>
      <c r="T12" s="7" t="s">
        <v>58</v>
      </c>
      <c r="U12" s="7" t="s">
        <v>58</v>
      </c>
      <c r="V12" s="7" t="s">
        <v>67</v>
      </c>
      <c r="W12" s="7" t="s">
        <v>58</v>
      </c>
      <c r="X12" s="7" t="s">
        <v>66</v>
      </c>
      <c r="Y12" s="7" t="s">
        <v>58</v>
      </c>
      <c r="Z12" s="7" t="s">
        <v>67</v>
      </c>
      <c r="AA12" s="7" t="s">
        <v>58</v>
      </c>
      <c r="AB12" s="7" t="s">
        <v>58</v>
      </c>
      <c r="AC12" s="7" t="s">
        <v>66</v>
      </c>
      <c r="AD12" s="7" t="s">
        <v>67</v>
      </c>
      <c r="AE12" s="7" t="s">
        <v>58</v>
      </c>
      <c r="AF12" s="7" t="s">
        <v>58</v>
      </c>
      <c r="AG12" s="7" t="s">
        <v>67</v>
      </c>
      <c r="AH12" s="7" t="s">
        <v>58</v>
      </c>
      <c r="AI12" s="7" t="s">
        <v>72</v>
      </c>
      <c r="AJ12" s="7" t="s">
        <v>69</v>
      </c>
      <c r="AK12" s="7" t="s">
        <v>69</v>
      </c>
      <c r="AL12" s="7">
        <v>1.0</v>
      </c>
      <c r="AM12" s="7">
        <v>1.0</v>
      </c>
      <c r="AN12" s="7">
        <v>1.0</v>
      </c>
      <c r="AO12" s="7">
        <v>5.0</v>
      </c>
      <c r="AP12" s="7">
        <v>5.0</v>
      </c>
      <c r="AQ12" s="7">
        <v>1.0</v>
      </c>
      <c r="AR12" s="7">
        <v>3.0</v>
      </c>
      <c r="AS12" s="7">
        <v>5.0</v>
      </c>
      <c r="AT12" s="7">
        <v>1.0</v>
      </c>
      <c r="AU12" s="7">
        <v>5.0</v>
      </c>
      <c r="AV12" s="7">
        <v>5.0</v>
      </c>
      <c r="AW12" s="7">
        <v>5.0</v>
      </c>
      <c r="AX12" s="7">
        <v>1.0</v>
      </c>
      <c r="AY12" s="7">
        <v>5.0</v>
      </c>
      <c r="AZ12" s="7">
        <v>1.0</v>
      </c>
      <c r="BA12" s="7">
        <v>5.0</v>
      </c>
      <c r="BB12" s="7" t="s">
        <v>70</v>
      </c>
      <c r="BC12" s="7">
        <v>7.0</v>
      </c>
      <c r="BD12" s="7">
        <v>7.0</v>
      </c>
      <c r="BE12" s="7" t="s">
        <v>142</v>
      </c>
    </row>
    <row r="13" ht="22.5" customHeight="1">
      <c r="A13" s="6">
        <v>46024.59840540509</v>
      </c>
      <c r="B13" s="7" t="s">
        <v>57</v>
      </c>
      <c r="C13" s="7" t="s">
        <v>58</v>
      </c>
      <c r="D13" s="7" t="s">
        <v>58</v>
      </c>
      <c r="E13" s="7" t="s">
        <v>59</v>
      </c>
      <c r="F13" s="7" t="s">
        <v>60</v>
      </c>
      <c r="G13" s="7" t="s">
        <v>61</v>
      </c>
      <c r="H13" s="7" t="s">
        <v>60</v>
      </c>
      <c r="I13" s="7" t="s">
        <v>60</v>
      </c>
      <c r="J13" s="7" t="s">
        <v>62</v>
      </c>
      <c r="K13" s="7" t="s">
        <v>63</v>
      </c>
      <c r="L13" s="7" t="s">
        <v>64</v>
      </c>
      <c r="M13" s="7" t="s">
        <v>65</v>
      </c>
      <c r="N13" s="7" t="s">
        <v>67</v>
      </c>
      <c r="O13" s="7" t="s">
        <v>58</v>
      </c>
      <c r="P13" s="7" t="s">
        <v>58</v>
      </c>
      <c r="Q13" s="7" t="s">
        <v>66</v>
      </c>
      <c r="R13" s="7" t="s">
        <v>67</v>
      </c>
      <c r="S13" s="7" t="s">
        <v>58</v>
      </c>
      <c r="T13" s="7" t="s">
        <v>58</v>
      </c>
      <c r="U13" s="7" t="s">
        <v>67</v>
      </c>
      <c r="V13" s="7" t="s">
        <v>58</v>
      </c>
      <c r="W13" s="7" t="s">
        <v>58</v>
      </c>
      <c r="X13" s="7" t="s">
        <v>66</v>
      </c>
      <c r="Y13" s="7" t="s">
        <v>67</v>
      </c>
      <c r="Z13" s="7" t="s">
        <v>58</v>
      </c>
      <c r="AA13" s="7" t="s">
        <v>58</v>
      </c>
      <c r="AB13" s="7" t="s">
        <v>67</v>
      </c>
      <c r="AC13" s="7" t="s">
        <v>58</v>
      </c>
      <c r="AD13" s="7" t="s">
        <v>67</v>
      </c>
      <c r="AE13" s="7" t="s">
        <v>58</v>
      </c>
      <c r="AF13" s="7" t="s">
        <v>67</v>
      </c>
      <c r="AG13" s="7" t="s">
        <v>67</v>
      </c>
      <c r="AH13" s="7" t="s">
        <v>58</v>
      </c>
      <c r="AI13" s="7" t="s">
        <v>68</v>
      </c>
      <c r="AJ13" s="7" t="s">
        <v>68</v>
      </c>
      <c r="AK13" s="7" t="s">
        <v>73</v>
      </c>
      <c r="AL13" s="7">
        <v>4.0</v>
      </c>
      <c r="AM13" s="7">
        <v>4.0</v>
      </c>
      <c r="AN13" s="7">
        <v>3.0</v>
      </c>
      <c r="AO13" s="7">
        <v>2.0</v>
      </c>
      <c r="AP13" s="7">
        <v>4.0</v>
      </c>
      <c r="AQ13" s="7">
        <v>4.0</v>
      </c>
      <c r="AR13" s="7">
        <v>2.0</v>
      </c>
      <c r="AS13" s="7">
        <v>4.0</v>
      </c>
      <c r="AT13" s="7">
        <v>2.0</v>
      </c>
      <c r="AU13" s="7">
        <v>4.0</v>
      </c>
      <c r="AV13" s="7">
        <v>4.0</v>
      </c>
      <c r="AW13" s="7">
        <v>4.0</v>
      </c>
      <c r="AX13" s="7">
        <v>3.0</v>
      </c>
      <c r="AY13" s="7">
        <v>3.0</v>
      </c>
      <c r="AZ13" s="7">
        <v>2.0</v>
      </c>
      <c r="BA13" s="7">
        <v>3.0</v>
      </c>
      <c r="BB13" s="7" t="s">
        <v>70</v>
      </c>
      <c r="BC13" s="7">
        <v>3.0</v>
      </c>
      <c r="BD13" s="7">
        <v>5.0</v>
      </c>
      <c r="BE13" s="7" t="s">
        <v>143</v>
      </c>
    </row>
    <row r="14" ht="22.5" customHeight="1">
      <c r="A14" s="6">
        <v>46024.60743605324</v>
      </c>
      <c r="B14" s="7" t="s">
        <v>57</v>
      </c>
      <c r="C14" s="7" t="s">
        <v>58</v>
      </c>
      <c r="D14" s="7" t="s">
        <v>58</v>
      </c>
      <c r="E14" s="7" t="s">
        <v>59</v>
      </c>
      <c r="F14" s="7" t="s">
        <v>60</v>
      </c>
      <c r="G14" s="7" t="s">
        <v>61</v>
      </c>
      <c r="H14" s="7" t="s">
        <v>60</v>
      </c>
      <c r="I14" s="7" t="s">
        <v>60</v>
      </c>
      <c r="J14" s="7" t="s">
        <v>62</v>
      </c>
      <c r="K14" s="7" t="s">
        <v>63</v>
      </c>
      <c r="L14" s="7" t="s">
        <v>64</v>
      </c>
      <c r="M14" s="7" t="s">
        <v>65</v>
      </c>
      <c r="N14" s="7" t="s">
        <v>67</v>
      </c>
      <c r="O14" s="7" t="s">
        <v>58</v>
      </c>
      <c r="P14" s="7" t="s">
        <v>67</v>
      </c>
      <c r="Q14" s="7" t="s">
        <v>58</v>
      </c>
      <c r="R14" s="7" t="s">
        <v>67</v>
      </c>
      <c r="S14" s="7" t="s">
        <v>58</v>
      </c>
      <c r="T14" s="7" t="s">
        <v>67</v>
      </c>
      <c r="U14" s="7" t="s">
        <v>67</v>
      </c>
      <c r="V14" s="7" t="s">
        <v>58</v>
      </c>
      <c r="W14" s="7" t="s">
        <v>58</v>
      </c>
      <c r="X14" s="7" t="s">
        <v>66</v>
      </c>
      <c r="Y14" s="7" t="s">
        <v>58</v>
      </c>
      <c r="Z14" s="7" t="s">
        <v>58</v>
      </c>
      <c r="AA14" s="7" t="s">
        <v>58</v>
      </c>
      <c r="AB14" s="7" t="s">
        <v>58</v>
      </c>
      <c r="AC14" s="7" t="s">
        <v>66</v>
      </c>
      <c r="AD14" s="7" t="s">
        <v>58</v>
      </c>
      <c r="AE14" s="7" t="s">
        <v>58</v>
      </c>
      <c r="AF14" s="7" t="s">
        <v>58</v>
      </c>
      <c r="AG14" s="7" t="s">
        <v>58</v>
      </c>
      <c r="AH14" s="7" t="s">
        <v>58</v>
      </c>
      <c r="AI14" s="7" t="s">
        <v>77</v>
      </c>
      <c r="AJ14" s="7" t="s">
        <v>69</v>
      </c>
      <c r="AK14" s="7" t="s">
        <v>69</v>
      </c>
      <c r="AL14" s="7">
        <v>4.0</v>
      </c>
      <c r="AM14" s="7">
        <v>3.0</v>
      </c>
      <c r="AN14" s="7">
        <v>3.0</v>
      </c>
      <c r="AO14" s="7">
        <v>4.0</v>
      </c>
      <c r="AP14" s="7">
        <v>5.0</v>
      </c>
      <c r="AQ14" s="7">
        <v>3.0</v>
      </c>
      <c r="AR14" s="7">
        <v>3.0</v>
      </c>
      <c r="AS14" s="7">
        <v>3.0</v>
      </c>
      <c r="AT14" s="7">
        <v>3.0</v>
      </c>
      <c r="AU14" s="7">
        <v>3.0</v>
      </c>
      <c r="AV14" s="7">
        <v>4.0</v>
      </c>
      <c r="AW14" s="7">
        <v>3.0</v>
      </c>
      <c r="AX14" s="7">
        <v>3.0</v>
      </c>
      <c r="AY14" s="7">
        <v>3.0</v>
      </c>
      <c r="AZ14" s="7">
        <v>3.0</v>
      </c>
      <c r="BA14" s="7">
        <v>3.0</v>
      </c>
      <c r="BB14" s="7" t="s">
        <v>74</v>
      </c>
      <c r="BC14" s="7">
        <v>4.0</v>
      </c>
      <c r="BD14" s="7">
        <v>7.0</v>
      </c>
      <c r="BE14" s="7" t="s">
        <v>144</v>
      </c>
    </row>
    <row r="15" ht="22.5" customHeight="1">
      <c r="A15" s="6">
        <v>46027.58687454861</v>
      </c>
      <c r="B15" s="7" t="s">
        <v>57</v>
      </c>
      <c r="C15" s="7" t="s">
        <v>58</v>
      </c>
      <c r="D15" s="7" t="s">
        <v>58</v>
      </c>
      <c r="E15" s="7" t="s">
        <v>59</v>
      </c>
      <c r="F15" s="7" t="s">
        <v>60</v>
      </c>
      <c r="G15" s="7" t="s">
        <v>61</v>
      </c>
      <c r="H15" s="7" t="s">
        <v>60</v>
      </c>
      <c r="I15" s="7" t="s">
        <v>60</v>
      </c>
      <c r="J15" s="7" t="s">
        <v>62</v>
      </c>
      <c r="K15" s="7" t="s">
        <v>63</v>
      </c>
      <c r="L15" s="7" t="s">
        <v>64</v>
      </c>
      <c r="M15" s="7" t="s">
        <v>65</v>
      </c>
      <c r="N15" s="7" t="s">
        <v>58</v>
      </c>
      <c r="O15" s="7" t="s">
        <v>58</v>
      </c>
      <c r="P15" s="7" t="s">
        <v>58</v>
      </c>
      <c r="Q15" s="7" t="s">
        <v>66</v>
      </c>
      <c r="R15" s="7" t="s">
        <v>58</v>
      </c>
      <c r="S15" s="7" t="s">
        <v>58</v>
      </c>
      <c r="T15" s="7" t="s">
        <v>58</v>
      </c>
      <c r="U15" s="7" t="s">
        <v>58</v>
      </c>
      <c r="V15" s="7" t="s">
        <v>58</v>
      </c>
      <c r="W15" s="7" t="s">
        <v>58</v>
      </c>
      <c r="X15" s="7" t="s">
        <v>66</v>
      </c>
      <c r="Y15" s="7" t="s">
        <v>58</v>
      </c>
      <c r="Z15" s="7" t="s">
        <v>58</v>
      </c>
      <c r="AA15" s="7" t="s">
        <v>58</v>
      </c>
      <c r="AB15" s="7" t="s">
        <v>58</v>
      </c>
      <c r="AC15" s="7" t="s">
        <v>66</v>
      </c>
      <c r="AD15" s="7" t="s">
        <v>58</v>
      </c>
      <c r="AE15" s="7" t="s">
        <v>58</v>
      </c>
      <c r="AF15" s="7" t="s">
        <v>58</v>
      </c>
      <c r="AG15" s="7" t="s">
        <v>58</v>
      </c>
      <c r="AH15" s="7" t="s">
        <v>58</v>
      </c>
      <c r="AI15" s="7" t="s">
        <v>77</v>
      </c>
      <c r="AJ15" s="7" t="s">
        <v>69</v>
      </c>
      <c r="AK15" s="7" t="s">
        <v>69</v>
      </c>
      <c r="AL15" s="7">
        <v>5.0</v>
      </c>
      <c r="AM15" s="7">
        <v>5.0</v>
      </c>
      <c r="AN15" s="7">
        <v>1.0</v>
      </c>
      <c r="AO15" s="7">
        <v>1.0</v>
      </c>
      <c r="AP15" s="7">
        <v>5.0</v>
      </c>
      <c r="AQ15" s="7">
        <v>5.0</v>
      </c>
      <c r="AR15" s="7">
        <v>1.0</v>
      </c>
      <c r="AS15" s="7">
        <v>5.0</v>
      </c>
      <c r="AT15" s="7">
        <v>1.0</v>
      </c>
      <c r="AU15" s="7">
        <v>5.0</v>
      </c>
      <c r="AV15" s="7">
        <v>1.0</v>
      </c>
      <c r="AW15" s="7">
        <v>5.0</v>
      </c>
      <c r="AX15" s="7">
        <v>1.0</v>
      </c>
      <c r="AY15" s="7">
        <v>5.0</v>
      </c>
      <c r="AZ15" s="7">
        <v>1.0</v>
      </c>
      <c r="BA15" s="7">
        <v>5.0</v>
      </c>
      <c r="BB15" s="7" t="s">
        <v>90</v>
      </c>
      <c r="BC15" s="7">
        <v>2.0</v>
      </c>
      <c r="BD15" s="7">
        <v>5.0</v>
      </c>
      <c r="BE15" s="7" t="s">
        <v>145</v>
      </c>
    </row>
    <row r="16" ht="22.5" customHeight="1">
      <c r="A16" s="6">
        <v>46028.55446385416</v>
      </c>
      <c r="B16" s="7" t="s">
        <v>57</v>
      </c>
      <c r="C16" s="7" t="s">
        <v>58</v>
      </c>
      <c r="D16" s="7" t="s">
        <v>58</v>
      </c>
      <c r="E16" s="7" t="s">
        <v>59</v>
      </c>
      <c r="F16" s="7" t="s">
        <v>60</v>
      </c>
      <c r="G16" s="7" t="s">
        <v>61</v>
      </c>
      <c r="H16" s="7" t="s">
        <v>60</v>
      </c>
      <c r="I16" s="7" t="s">
        <v>60</v>
      </c>
      <c r="J16" s="7" t="s">
        <v>62</v>
      </c>
      <c r="K16" s="7" t="s">
        <v>63</v>
      </c>
      <c r="L16" s="7" t="s">
        <v>64</v>
      </c>
      <c r="M16" s="7" t="s">
        <v>65</v>
      </c>
      <c r="N16" s="7" t="s">
        <v>58</v>
      </c>
      <c r="O16" s="7" t="s">
        <v>58</v>
      </c>
      <c r="P16" s="7" t="s">
        <v>67</v>
      </c>
      <c r="Q16" s="7" t="s">
        <v>66</v>
      </c>
      <c r="R16" s="7" t="s">
        <v>58</v>
      </c>
      <c r="S16" s="7" t="s">
        <v>58</v>
      </c>
      <c r="T16" s="7" t="s">
        <v>58</v>
      </c>
      <c r="U16" s="7" t="s">
        <v>58</v>
      </c>
      <c r="V16" s="7" t="s">
        <v>67</v>
      </c>
      <c r="W16" s="7" t="s">
        <v>58</v>
      </c>
      <c r="X16" s="7" t="s">
        <v>66</v>
      </c>
      <c r="Y16" s="7" t="s">
        <v>58</v>
      </c>
      <c r="Z16" s="7" t="s">
        <v>58</v>
      </c>
      <c r="AA16" s="7" t="s">
        <v>58</v>
      </c>
      <c r="AB16" s="7" t="s">
        <v>58</v>
      </c>
      <c r="AC16" s="7" t="s">
        <v>66</v>
      </c>
      <c r="AD16" s="7" t="s">
        <v>67</v>
      </c>
      <c r="AE16" s="7" t="s">
        <v>58</v>
      </c>
      <c r="AF16" s="7" t="s">
        <v>58</v>
      </c>
      <c r="AG16" s="7" t="s">
        <v>67</v>
      </c>
      <c r="AH16" s="7" t="s">
        <v>58</v>
      </c>
      <c r="AI16" s="7" t="s">
        <v>77</v>
      </c>
      <c r="AJ16" s="7" t="s">
        <v>69</v>
      </c>
      <c r="AK16" s="7" t="s">
        <v>73</v>
      </c>
      <c r="AL16" s="7">
        <v>4.0</v>
      </c>
      <c r="AM16" s="7">
        <v>3.0</v>
      </c>
      <c r="AN16" s="7">
        <v>2.0</v>
      </c>
      <c r="AO16" s="7">
        <v>1.0</v>
      </c>
      <c r="AP16" s="7">
        <v>5.0</v>
      </c>
      <c r="AQ16" s="7">
        <v>5.0</v>
      </c>
      <c r="AR16" s="7">
        <v>1.0</v>
      </c>
      <c r="AS16" s="7">
        <v>4.0</v>
      </c>
      <c r="AT16" s="7">
        <v>1.0</v>
      </c>
      <c r="AU16" s="7">
        <v>4.0</v>
      </c>
      <c r="AV16" s="7">
        <v>1.0</v>
      </c>
      <c r="AW16" s="7">
        <v>5.0</v>
      </c>
      <c r="AX16" s="7">
        <v>2.0</v>
      </c>
      <c r="AY16" s="7">
        <v>5.0</v>
      </c>
      <c r="AZ16" s="7">
        <v>1.0</v>
      </c>
      <c r="BA16" s="7">
        <v>5.0</v>
      </c>
      <c r="BB16" s="7" t="s">
        <v>70</v>
      </c>
      <c r="BC16" s="7">
        <v>4.0</v>
      </c>
      <c r="BD16" s="7">
        <v>5.0</v>
      </c>
      <c r="BE16" s="7" t="s">
        <v>146</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7.13"/>
    <col customWidth="1" min="6" max="48" width="37.63"/>
    <col customWidth="1" min="49" max="49" width="31.5"/>
    <col customWidth="1" min="50" max="53" width="37.63"/>
    <col customWidth="1" min="54" max="54" width="18.88"/>
    <col customWidth="1" min="55" max="56" width="37.63"/>
    <col customWidth="1" min="57" max="63"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16</v>
      </c>
      <c r="Q1" s="3" t="s">
        <v>17</v>
      </c>
      <c r="R1" s="3" t="s">
        <v>18</v>
      </c>
      <c r="S1" s="3" t="s">
        <v>15</v>
      </c>
      <c r="T1" s="3" t="s">
        <v>19</v>
      </c>
      <c r="U1" s="3" t="s">
        <v>20</v>
      </c>
      <c r="V1" s="3" t="s">
        <v>21</v>
      </c>
      <c r="W1" s="3" t="s">
        <v>22</v>
      </c>
      <c r="X1" s="3" t="s">
        <v>23</v>
      </c>
      <c r="Y1" s="3" t="s">
        <v>24</v>
      </c>
      <c r="Z1" s="3" t="s">
        <v>25</v>
      </c>
      <c r="AA1" s="3" t="s">
        <v>26</v>
      </c>
      <c r="AB1" s="3" t="s">
        <v>27</v>
      </c>
      <c r="AC1" s="3" t="s">
        <v>28</v>
      </c>
      <c r="AD1" s="3" t="s">
        <v>29</v>
      </c>
      <c r="AE1" s="3" t="s">
        <v>30</v>
      </c>
      <c r="AF1" s="3" t="s">
        <v>31</v>
      </c>
      <c r="AG1" s="3" t="s">
        <v>33</v>
      </c>
      <c r="AH1" s="3" t="s">
        <v>32</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ht="22.5" customHeight="1">
      <c r="A2" s="4">
        <v>46020.611599930555</v>
      </c>
      <c r="B2" s="5" t="s">
        <v>57</v>
      </c>
      <c r="C2" s="5" t="s">
        <v>58</v>
      </c>
      <c r="D2" s="5" t="s">
        <v>58</v>
      </c>
      <c r="E2" s="5" t="s">
        <v>59</v>
      </c>
      <c r="F2" s="5" t="s">
        <v>60</v>
      </c>
      <c r="G2" s="5" t="s">
        <v>61</v>
      </c>
      <c r="H2" s="5" t="s">
        <v>60</v>
      </c>
      <c r="I2" s="5" t="s">
        <v>60</v>
      </c>
      <c r="J2" s="5" t="s">
        <v>62</v>
      </c>
      <c r="K2" s="5" t="s">
        <v>63</v>
      </c>
      <c r="L2" s="5" t="s">
        <v>64</v>
      </c>
      <c r="M2" s="5" t="s">
        <v>65</v>
      </c>
      <c r="N2" s="5" t="s">
        <v>58</v>
      </c>
      <c r="O2" s="5" t="s">
        <v>67</v>
      </c>
      <c r="P2" s="5" t="s">
        <v>58</v>
      </c>
      <c r="Q2" s="5" t="s">
        <v>58</v>
      </c>
      <c r="R2" s="5" t="s">
        <v>67</v>
      </c>
      <c r="S2" s="5" t="s">
        <v>67</v>
      </c>
      <c r="T2" s="5" t="s">
        <v>67</v>
      </c>
      <c r="U2" s="5" t="s">
        <v>58</v>
      </c>
      <c r="V2" s="5" t="s">
        <v>67</v>
      </c>
      <c r="W2" s="5" t="s">
        <v>67</v>
      </c>
      <c r="X2" s="5" t="s">
        <v>67</v>
      </c>
      <c r="Y2" s="5" t="s">
        <v>67</v>
      </c>
      <c r="Z2" s="5" t="s">
        <v>67</v>
      </c>
      <c r="AA2" s="5" t="s">
        <v>67</v>
      </c>
      <c r="AB2" s="5" t="s">
        <v>67</v>
      </c>
      <c r="AC2" s="5" t="s">
        <v>67</v>
      </c>
      <c r="AD2" s="5" t="s">
        <v>67</v>
      </c>
      <c r="AE2" s="5" t="s">
        <v>67</v>
      </c>
      <c r="AF2" s="5" t="s">
        <v>67</v>
      </c>
      <c r="AG2" s="5" t="s">
        <v>67</v>
      </c>
      <c r="AH2" s="5" t="s">
        <v>67</v>
      </c>
      <c r="AI2" s="5" t="s">
        <v>72</v>
      </c>
      <c r="AJ2" s="5" t="s">
        <v>69</v>
      </c>
      <c r="AK2" s="5" t="s">
        <v>69</v>
      </c>
      <c r="AL2" s="5">
        <v>1.0</v>
      </c>
      <c r="AM2" s="5">
        <v>3.0</v>
      </c>
      <c r="AN2" s="5">
        <v>3.0</v>
      </c>
      <c r="AO2" s="5">
        <v>2.0</v>
      </c>
      <c r="AP2" s="5">
        <v>4.0</v>
      </c>
      <c r="AQ2" s="5">
        <v>2.0</v>
      </c>
      <c r="AR2" s="5">
        <v>1.0</v>
      </c>
      <c r="AS2" s="5">
        <v>4.0</v>
      </c>
      <c r="AT2" s="5">
        <v>2.0</v>
      </c>
      <c r="AU2" s="5">
        <v>5.0</v>
      </c>
      <c r="AV2" s="5">
        <v>4.0</v>
      </c>
      <c r="AW2" s="5">
        <v>4.0</v>
      </c>
      <c r="AX2" s="5">
        <v>4.0</v>
      </c>
      <c r="AY2" s="5">
        <v>5.0</v>
      </c>
      <c r="AZ2" s="5">
        <v>2.0</v>
      </c>
      <c r="BA2" s="5">
        <v>4.0</v>
      </c>
      <c r="BB2" s="5" t="s">
        <v>70</v>
      </c>
      <c r="BC2" s="5">
        <v>4.0</v>
      </c>
      <c r="BD2" s="5">
        <v>6.0</v>
      </c>
      <c r="BE2" s="5" t="s">
        <v>147</v>
      </c>
    </row>
    <row r="3" ht="22.5" customHeight="1">
      <c r="A3" s="4">
        <v>46020.63647326389</v>
      </c>
      <c r="B3" s="5" t="s">
        <v>57</v>
      </c>
      <c r="C3" s="5" t="s">
        <v>58</v>
      </c>
      <c r="D3" s="5" t="s">
        <v>58</v>
      </c>
      <c r="E3" s="5" t="s">
        <v>59</v>
      </c>
      <c r="F3" s="5" t="s">
        <v>60</v>
      </c>
      <c r="G3" s="5" t="s">
        <v>61</v>
      </c>
      <c r="H3" s="5" t="s">
        <v>60</v>
      </c>
      <c r="I3" s="5" t="s">
        <v>60</v>
      </c>
      <c r="J3" s="5" t="s">
        <v>62</v>
      </c>
      <c r="K3" s="5" t="s">
        <v>63</v>
      </c>
      <c r="L3" s="5" t="s">
        <v>64</v>
      </c>
      <c r="M3" s="5" t="s">
        <v>65</v>
      </c>
      <c r="N3" s="5" t="s">
        <v>58</v>
      </c>
      <c r="O3" s="5" t="s">
        <v>58</v>
      </c>
      <c r="P3" s="5" t="s">
        <v>58</v>
      </c>
      <c r="Q3" s="5" t="s">
        <v>58</v>
      </c>
      <c r="R3" s="5" t="s">
        <v>58</v>
      </c>
      <c r="S3" s="5" t="s">
        <v>66</v>
      </c>
      <c r="T3" s="5" t="s">
        <v>58</v>
      </c>
      <c r="U3" s="5" t="s">
        <v>58</v>
      </c>
      <c r="V3" s="5" t="s">
        <v>67</v>
      </c>
      <c r="W3" s="5" t="s">
        <v>58</v>
      </c>
      <c r="X3" s="5" t="s">
        <v>58</v>
      </c>
      <c r="Y3" s="5" t="s">
        <v>67</v>
      </c>
      <c r="Z3" s="5" t="s">
        <v>66</v>
      </c>
      <c r="AA3" s="5" t="s">
        <v>58</v>
      </c>
      <c r="AB3" s="5" t="s">
        <v>58</v>
      </c>
      <c r="AC3" s="5" t="s">
        <v>58</v>
      </c>
      <c r="AD3" s="5" t="s">
        <v>58</v>
      </c>
      <c r="AE3" s="5" t="s">
        <v>58</v>
      </c>
      <c r="AF3" s="5" t="s">
        <v>58</v>
      </c>
      <c r="AG3" s="5" t="s">
        <v>66</v>
      </c>
      <c r="AH3" s="5" t="s">
        <v>58</v>
      </c>
      <c r="AI3" s="5" t="s">
        <v>72</v>
      </c>
      <c r="AJ3" s="5" t="s">
        <v>73</v>
      </c>
      <c r="AK3" s="5" t="s">
        <v>68</v>
      </c>
      <c r="AL3" s="5">
        <v>3.0</v>
      </c>
      <c r="AM3" s="5">
        <v>2.0</v>
      </c>
      <c r="AN3" s="5">
        <v>2.0</v>
      </c>
      <c r="AO3" s="5">
        <v>3.0</v>
      </c>
      <c r="AP3" s="5">
        <v>4.0</v>
      </c>
      <c r="AQ3" s="5">
        <v>4.0</v>
      </c>
      <c r="AR3" s="5">
        <v>2.0</v>
      </c>
      <c r="AS3" s="5">
        <v>4.0</v>
      </c>
      <c r="AT3" s="5">
        <v>1.0</v>
      </c>
      <c r="AU3" s="5">
        <v>4.0</v>
      </c>
      <c r="AV3" s="5">
        <v>2.0</v>
      </c>
      <c r="AW3" s="5">
        <v>4.0</v>
      </c>
      <c r="AX3" s="5">
        <v>2.0</v>
      </c>
      <c r="AY3" s="5">
        <v>3.0</v>
      </c>
      <c r="AZ3" s="5">
        <v>3.0</v>
      </c>
      <c r="BA3" s="5">
        <v>4.0</v>
      </c>
      <c r="BB3" s="5" t="s">
        <v>70</v>
      </c>
      <c r="BC3" s="5">
        <v>4.0</v>
      </c>
      <c r="BD3" s="5">
        <v>9.0</v>
      </c>
      <c r="BE3" s="5" t="s">
        <v>148</v>
      </c>
    </row>
    <row r="4" ht="22.5" customHeight="1">
      <c r="A4" s="4">
        <v>46020.64707414352</v>
      </c>
      <c r="B4" s="5" t="s">
        <v>57</v>
      </c>
      <c r="C4" s="5" t="s">
        <v>58</v>
      </c>
      <c r="D4" s="5" t="s">
        <v>58</v>
      </c>
      <c r="E4" s="5" t="s">
        <v>59</v>
      </c>
      <c r="F4" s="5" t="s">
        <v>60</v>
      </c>
      <c r="G4" s="5" t="s">
        <v>61</v>
      </c>
      <c r="H4" s="5" t="s">
        <v>60</v>
      </c>
      <c r="I4" s="5" t="s">
        <v>60</v>
      </c>
      <c r="J4" s="5" t="s">
        <v>62</v>
      </c>
      <c r="K4" s="5" t="s">
        <v>63</v>
      </c>
      <c r="L4" s="5" t="s">
        <v>64</v>
      </c>
      <c r="M4" s="5" t="s">
        <v>65</v>
      </c>
      <c r="N4" s="5" t="s">
        <v>58</v>
      </c>
      <c r="O4" s="5" t="s">
        <v>67</v>
      </c>
      <c r="P4" s="5" t="s">
        <v>58</v>
      </c>
      <c r="Q4" s="5" t="s">
        <v>58</v>
      </c>
      <c r="R4" s="5" t="s">
        <v>58</v>
      </c>
      <c r="S4" s="5" t="s">
        <v>66</v>
      </c>
      <c r="T4" s="5" t="s">
        <v>58</v>
      </c>
      <c r="U4" s="5" t="s">
        <v>58</v>
      </c>
      <c r="V4" s="5" t="s">
        <v>67</v>
      </c>
      <c r="W4" s="5" t="s">
        <v>58</v>
      </c>
      <c r="X4" s="5" t="s">
        <v>58</v>
      </c>
      <c r="Y4" s="5" t="s">
        <v>67</v>
      </c>
      <c r="Z4" s="5" t="s">
        <v>66</v>
      </c>
      <c r="AA4" s="5" t="s">
        <v>58</v>
      </c>
      <c r="AB4" s="5" t="s">
        <v>58</v>
      </c>
      <c r="AC4" s="5" t="s">
        <v>67</v>
      </c>
      <c r="AD4" s="5" t="s">
        <v>58</v>
      </c>
      <c r="AE4" s="5" t="s">
        <v>58</v>
      </c>
      <c r="AF4" s="5" t="s">
        <v>67</v>
      </c>
      <c r="AG4" s="5" t="s">
        <v>66</v>
      </c>
      <c r="AH4" s="5" t="s">
        <v>58</v>
      </c>
      <c r="AI4" s="5" t="s">
        <v>77</v>
      </c>
      <c r="AJ4" s="5" t="s">
        <v>69</v>
      </c>
      <c r="AK4" s="5" t="s">
        <v>69</v>
      </c>
      <c r="AL4" s="5">
        <v>5.0</v>
      </c>
      <c r="AM4" s="5">
        <v>4.0</v>
      </c>
      <c r="AN4" s="5">
        <v>2.0</v>
      </c>
      <c r="AO4" s="5">
        <v>1.0</v>
      </c>
      <c r="AP4" s="5">
        <v>5.0</v>
      </c>
      <c r="AQ4" s="5">
        <v>4.0</v>
      </c>
      <c r="AR4" s="5">
        <v>3.0</v>
      </c>
      <c r="AS4" s="5">
        <v>5.0</v>
      </c>
      <c r="AT4" s="5">
        <v>1.0</v>
      </c>
      <c r="AU4" s="5">
        <v>5.0</v>
      </c>
      <c r="AV4" s="5">
        <v>3.0</v>
      </c>
      <c r="AW4" s="5">
        <v>4.0</v>
      </c>
      <c r="AX4" s="5">
        <v>3.0</v>
      </c>
      <c r="AY4" s="5">
        <v>5.0</v>
      </c>
      <c r="AZ4" s="5">
        <v>1.0</v>
      </c>
      <c r="BA4" s="5">
        <v>4.0</v>
      </c>
      <c r="BB4" s="5" t="s">
        <v>70</v>
      </c>
      <c r="BC4" s="5">
        <v>3.0</v>
      </c>
      <c r="BD4" s="5">
        <v>7.0</v>
      </c>
      <c r="BE4" s="5" t="s">
        <v>149</v>
      </c>
    </row>
    <row r="5" ht="22.5" customHeight="1">
      <c r="A5" s="4">
        <v>46020.650801192125</v>
      </c>
      <c r="B5" s="5" t="s">
        <v>57</v>
      </c>
      <c r="C5" s="5" t="s">
        <v>58</v>
      </c>
      <c r="D5" s="5" t="s">
        <v>58</v>
      </c>
      <c r="E5" s="5" t="s">
        <v>59</v>
      </c>
      <c r="F5" s="5" t="s">
        <v>60</v>
      </c>
      <c r="G5" s="5" t="s">
        <v>61</v>
      </c>
      <c r="H5" s="5" t="s">
        <v>60</v>
      </c>
      <c r="I5" s="5" t="s">
        <v>60</v>
      </c>
      <c r="J5" s="5" t="s">
        <v>62</v>
      </c>
      <c r="K5" s="5" t="s">
        <v>63</v>
      </c>
      <c r="L5" s="5" t="s">
        <v>64</v>
      </c>
      <c r="M5" s="5" t="s">
        <v>65</v>
      </c>
      <c r="N5" s="5" t="s">
        <v>67</v>
      </c>
      <c r="O5" s="5" t="s">
        <v>67</v>
      </c>
      <c r="P5" s="5" t="s">
        <v>67</v>
      </c>
      <c r="Q5" s="5" t="s">
        <v>67</v>
      </c>
      <c r="R5" s="5" t="s">
        <v>67</v>
      </c>
      <c r="S5" s="5" t="s">
        <v>66</v>
      </c>
      <c r="T5" s="5" t="s">
        <v>67</v>
      </c>
      <c r="U5" s="5" t="s">
        <v>67</v>
      </c>
      <c r="V5" s="5" t="s">
        <v>67</v>
      </c>
      <c r="W5" s="5" t="s">
        <v>67</v>
      </c>
      <c r="X5" s="5" t="s">
        <v>67</v>
      </c>
      <c r="Y5" s="5" t="s">
        <v>67</v>
      </c>
      <c r="Z5" s="5" t="s">
        <v>66</v>
      </c>
      <c r="AA5" s="5" t="s">
        <v>67</v>
      </c>
      <c r="AB5" s="5" t="s">
        <v>67</v>
      </c>
      <c r="AC5" s="5" t="s">
        <v>67</v>
      </c>
      <c r="AD5" s="5" t="s">
        <v>67</v>
      </c>
      <c r="AE5" s="5" t="s">
        <v>67</v>
      </c>
      <c r="AF5" s="5" t="s">
        <v>67</v>
      </c>
      <c r="AG5" s="5" t="s">
        <v>66</v>
      </c>
      <c r="AH5" s="5" t="s">
        <v>67</v>
      </c>
      <c r="AI5" s="5" t="s">
        <v>68</v>
      </c>
      <c r="AJ5" s="5" t="s">
        <v>68</v>
      </c>
      <c r="AK5" s="5" t="s">
        <v>68</v>
      </c>
      <c r="AL5" s="5">
        <v>5.0</v>
      </c>
      <c r="AM5" s="5">
        <v>5.0</v>
      </c>
      <c r="AN5" s="5">
        <v>2.0</v>
      </c>
      <c r="AO5" s="5">
        <v>2.0</v>
      </c>
      <c r="AP5" s="5">
        <v>5.0</v>
      </c>
      <c r="AQ5" s="5">
        <v>4.0</v>
      </c>
      <c r="AR5" s="5">
        <v>3.0</v>
      </c>
      <c r="AS5" s="5">
        <v>3.0</v>
      </c>
      <c r="AT5" s="5">
        <v>2.0</v>
      </c>
      <c r="AU5" s="5">
        <v>4.0</v>
      </c>
      <c r="AV5" s="5">
        <v>3.0</v>
      </c>
      <c r="AW5" s="5">
        <v>4.0</v>
      </c>
      <c r="AX5" s="5">
        <v>2.0</v>
      </c>
      <c r="AY5" s="5">
        <v>4.0</v>
      </c>
      <c r="AZ5" s="5">
        <v>2.0</v>
      </c>
      <c r="BA5" s="5">
        <v>3.0</v>
      </c>
      <c r="BB5" s="5" t="s">
        <v>70</v>
      </c>
      <c r="BC5" s="5">
        <v>4.0</v>
      </c>
      <c r="BD5" s="5">
        <v>7.0</v>
      </c>
      <c r="BE5" s="5" t="s">
        <v>150</v>
      </c>
    </row>
    <row r="6" ht="22.5" customHeight="1">
      <c r="A6" s="4">
        <v>46020.91777863426</v>
      </c>
      <c r="B6" s="5" t="s">
        <v>57</v>
      </c>
      <c r="C6" s="5" t="s">
        <v>58</v>
      </c>
      <c r="D6" s="5" t="s">
        <v>58</v>
      </c>
      <c r="E6" s="5" t="s">
        <v>59</v>
      </c>
      <c r="F6" s="5" t="s">
        <v>60</v>
      </c>
      <c r="G6" s="5" t="s">
        <v>61</v>
      </c>
      <c r="H6" s="5" t="s">
        <v>60</v>
      </c>
      <c r="I6" s="5" t="s">
        <v>60</v>
      </c>
      <c r="J6" s="5" t="s">
        <v>62</v>
      </c>
      <c r="K6" s="5" t="s">
        <v>63</v>
      </c>
      <c r="L6" s="5" t="s">
        <v>64</v>
      </c>
      <c r="M6" s="5" t="s">
        <v>65</v>
      </c>
      <c r="N6" s="5" t="s">
        <v>58</v>
      </c>
      <c r="O6" s="5" t="s">
        <v>58</v>
      </c>
      <c r="P6" s="5" t="s">
        <v>58</v>
      </c>
      <c r="Q6" s="5" t="s">
        <v>58</v>
      </c>
      <c r="R6" s="5" t="s">
        <v>67</v>
      </c>
      <c r="S6" s="5" t="s">
        <v>58</v>
      </c>
      <c r="T6" s="5" t="s">
        <v>58</v>
      </c>
      <c r="U6" s="5" t="s">
        <v>58</v>
      </c>
      <c r="V6" s="5" t="s">
        <v>67</v>
      </c>
      <c r="W6" s="5" t="s">
        <v>58</v>
      </c>
      <c r="X6" s="5" t="s">
        <v>58</v>
      </c>
      <c r="Y6" s="5" t="s">
        <v>67</v>
      </c>
      <c r="Z6" s="5" t="s">
        <v>58</v>
      </c>
      <c r="AA6" s="5" t="s">
        <v>58</v>
      </c>
      <c r="AB6" s="5" t="s">
        <v>58</v>
      </c>
      <c r="AC6" s="5" t="s">
        <v>58</v>
      </c>
      <c r="AD6" s="5" t="s">
        <v>58</v>
      </c>
      <c r="AE6" s="5" t="s">
        <v>58</v>
      </c>
      <c r="AF6" s="5" t="s">
        <v>67</v>
      </c>
      <c r="AG6" s="5" t="s">
        <v>58</v>
      </c>
      <c r="AH6" s="5" t="s">
        <v>58</v>
      </c>
      <c r="AI6" s="5" t="s">
        <v>68</v>
      </c>
      <c r="AJ6" s="5" t="s">
        <v>69</v>
      </c>
      <c r="AK6" s="5" t="s">
        <v>69</v>
      </c>
      <c r="AL6" s="5">
        <v>3.0</v>
      </c>
      <c r="AM6" s="5">
        <v>4.0</v>
      </c>
      <c r="AN6" s="5">
        <v>3.0</v>
      </c>
      <c r="AO6" s="5">
        <v>4.0</v>
      </c>
      <c r="AP6" s="5">
        <v>4.0</v>
      </c>
      <c r="AQ6" s="5">
        <v>2.0</v>
      </c>
      <c r="AR6" s="5">
        <v>2.0</v>
      </c>
      <c r="AS6" s="5">
        <v>5.0</v>
      </c>
      <c r="AT6" s="5">
        <v>1.0</v>
      </c>
      <c r="AU6" s="5">
        <v>5.0</v>
      </c>
      <c r="AV6" s="5">
        <v>3.0</v>
      </c>
      <c r="AW6" s="5">
        <v>5.0</v>
      </c>
      <c r="AX6" s="5">
        <v>1.0</v>
      </c>
      <c r="AY6" s="5">
        <v>5.0</v>
      </c>
      <c r="AZ6" s="5">
        <v>1.0</v>
      </c>
      <c r="BA6" s="5">
        <v>4.0</v>
      </c>
      <c r="BB6" s="5" t="s">
        <v>74</v>
      </c>
      <c r="BC6" s="5">
        <v>3.0</v>
      </c>
      <c r="BD6" s="5">
        <v>6.0</v>
      </c>
      <c r="BE6" s="5" t="s">
        <v>151</v>
      </c>
    </row>
    <row r="7" ht="22.5" customHeight="1">
      <c r="A7" s="4">
        <v>46021.43157284722</v>
      </c>
      <c r="B7" s="5" t="s">
        <v>57</v>
      </c>
      <c r="C7" s="5" t="s">
        <v>58</v>
      </c>
      <c r="D7" s="5" t="s">
        <v>58</v>
      </c>
      <c r="E7" s="5" t="s">
        <v>59</v>
      </c>
      <c r="F7" s="5" t="s">
        <v>60</v>
      </c>
      <c r="G7" s="5" t="s">
        <v>61</v>
      </c>
      <c r="H7" s="5" t="s">
        <v>60</v>
      </c>
      <c r="I7" s="5" t="s">
        <v>60</v>
      </c>
      <c r="J7" s="5" t="s">
        <v>62</v>
      </c>
      <c r="K7" s="5" t="s">
        <v>63</v>
      </c>
      <c r="L7" s="5" t="s">
        <v>64</v>
      </c>
      <c r="M7" s="5" t="s">
        <v>65</v>
      </c>
      <c r="N7" s="5" t="s">
        <v>67</v>
      </c>
      <c r="O7" s="5" t="s">
        <v>58</v>
      </c>
      <c r="P7" s="5" t="s">
        <v>67</v>
      </c>
      <c r="Q7" s="5" t="s">
        <v>67</v>
      </c>
      <c r="R7" s="5" t="s">
        <v>58</v>
      </c>
      <c r="S7" s="5" t="s">
        <v>66</v>
      </c>
      <c r="T7" s="5" t="s">
        <v>67</v>
      </c>
      <c r="U7" s="5" t="s">
        <v>67</v>
      </c>
      <c r="V7" s="5" t="s">
        <v>67</v>
      </c>
      <c r="W7" s="5" t="s">
        <v>58</v>
      </c>
      <c r="X7" s="5" t="s">
        <v>58</v>
      </c>
      <c r="Y7" s="5" t="s">
        <v>58</v>
      </c>
      <c r="Z7" s="5" t="s">
        <v>66</v>
      </c>
      <c r="AA7" s="5" t="s">
        <v>58</v>
      </c>
      <c r="AB7" s="5" t="s">
        <v>58</v>
      </c>
      <c r="AC7" s="5" t="s">
        <v>67</v>
      </c>
      <c r="AD7" s="5" t="s">
        <v>58</v>
      </c>
      <c r="AE7" s="5" t="s">
        <v>58</v>
      </c>
      <c r="AF7" s="5" t="s">
        <v>67</v>
      </c>
      <c r="AG7" s="5" t="s">
        <v>66</v>
      </c>
      <c r="AH7" s="5" t="s">
        <v>58</v>
      </c>
      <c r="AI7" s="5" t="s">
        <v>72</v>
      </c>
      <c r="AJ7" s="5" t="s">
        <v>68</v>
      </c>
      <c r="AK7" s="5" t="s">
        <v>69</v>
      </c>
      <c r="AL7" s="5">
        <v>4.0</v>
      </c>
      <c r="AM7" s="5">
        <v>4.0</v>
      </c>
      <c r="AN7" s="5">
        <v>2.0</v>
      </c>
      <c r="AO7" s="5">
        <v>3.0</v>
      </c>
      <c r="AP7" s="5">
        <v>4.0</v>
      </c>
      <c r="AQ7" s="5">
        <v>3.0</v>
      </c>
      <c r="AR7" s="5">
        <v>1.0</v>
      </c>
      <c r="AS7" s="5">
        <v>5.0</v>
      </c>
      <c r="AT7" s="5">
        <v>1.0</v>
      </c>
      <c r="AU7" s="5">
        <v>5.0</v>
      </c>
      <c r="AV7" s="5">
        <v>1.0</v>
      </c>
      <c r="AW7" s="5">
        <v>5.0</v>
      </c>
      <c r="AX7" s="5">
        <v>1.0</v>
      </c>
      <c r="AY7" s="5">
        <v>5.0</v>
      </c>
      <c r="AZ7" s="5">
        <v>1.0</v>
      </c>
      <c r="BA7" s="5">
        <v>5.0</v>
      </c>
      <c r="BB7" s="5" t="s">
        <v>70</v>
      </c>
      <c r="BC7" s="5">
        <v>4.0</v>
      </c>
      <c r="BD7" s="5">
        <v>7.0</v>
      </c>
      <c r="BE7" s="5" t="s">
        <v>152</v>
      </c>
    </row>
    <row r="8" ht="22.5" customHeight="1">
      <c r="A8" s="4">
        <v>46021.594448310185</v>
      </c>
      <c r="B8" s="5" t="s">
        <v>57</v>
      </c>
      <c r="C8" s="5" t="s">
        <v>58</v>
      </c>
      <c r="D8" s="5" t="s">
        <v>58</v>
      </c>
      <c r="E8" s="5" t="s">
        <v>59</v>
      </c>
      <c r="F8" s="5" t="s">
        <v>60</v>
      </c>
      <c r="G8" s="5" t="s">
        <v>61</v>
      </c>
      <c r="H8" s="5" t="s">
        <v>60</v>
      </c>
      <c r="I8" s="5" t="s">
        <v>60</v>
      </c>
      <c r="J8" s="5" t="s">
        <v>62</v>
      </c>
      <c r="K8" s="5" t="s">
        <v>63</v>
      </c>
      <c r="L8" s="5" t="s">
        <v>64</v>
      </c>
      <c r="M8" s="5" t="s">
        <v>65</v>
      </c>
      <c r="N8" s="5" t="s">
        <v>58</v>
      </c>
      <c r="O8" s="5" t="s">
        <v>67</v>
      </c>
      <c r="P8" s="5" t="s">
        <v>58</v>
      </c>
      <c r="Q8" s="5" t="s">
        <v>58</v>
      </c>
      <c r="R8" s="5" t="s">
        <v>58</v>
      </c>
      <c r="S8" s="5" t="s">
        <v>66</v>
      </c>
      <c r="T8" s="5" t="s">
        <v>58</v>
      </c>
      <c r="U8" s="5" t="s">
        <v>58</v>
      </c>
      <c r="V8" s="5" t="s">
        <v>58</v>
      </c>
      <c r="W8" s="5" t="s">
        <v>58</v>
      </c>
      <c r="X8" s="5" t="s">
        <v>58</v>
      </c>
      <c r="Y8" s="5" t="s">
        <v>58</v>
      </c>
      <c r="Z8" s="5" t="s">
        <v>66</v>
      </c>
      <c r="AA8" s="5" t="s">
        <v>58</v>
      </c>
      <c r="AB8" s="5" t="s">
        <v>58</v>
      </c>
      <c r="AC8" s="5" t="s">
        <v>58</v>
      </c>
      <c r="AD8" s="5" t="s">
        <v>58</v>
      </c>
      <c r="AE8" s="5" t="s">
        <v>67</v>
      </c>
      <c r="AF8" s="5" t="s">
        <v>58</v>
      </c>
      <c r="AG8" s="5" t="s">
        <v>66</v>
      </c>
      <c r="AH8" s="5" t="s">
        <v>58</v>
      </c>
      <c r="AI8" s="5" t="s">
        <v>72</v>
      </c>
      <c r="AJ8" s="5" t="s">
        <v>69</v>
      </c>
      <c r="AK8" s="5" t="s">
        <v>69</v>
      </c>
      <c r="AL8" s="5">
        <v>3.0</v>
      </c>
      <c r="AM8" s="5">
        <v>4.0</v>
      </c>
      <c r="AN8" s="5">
        <v>1.0</v>
      </c>
      <c r="AO8" s="5">
        <v>1.0</v>
      </c>
      <c r="AP8" s="5">
        <v>5.0</v>
      </c>
      <c r="AQ8" s="5">
        <v>4.0</v>
      </c>
      <c r="AR8" s="5">
        <v>1.0</v>
      </c>
      <c r="AS8" s="5">
        <v>5.0</v>
      </c>
      <c r="AT8" s="5">
        <v>1.0</v>
      </c>
      <c r="AU8" s="5">
        <v>5.0</v>
      </c>
      <c r="AV8" s="5">
        <v>3.0</v>
      </c>
      <c r="AW8" s="5">
        <v>4.0</v>
      </c>
      <c r="AX8" s="5">
        <v>4.0</v>
      </c>
      <c r="AY8" s="5">
        <v>5.0</v>
      </c>
      <c r="AZ8" s="5">
        <v>1.0</v>
      </c>
      <c r="BA8" s="5">
        <v>2.0</v>
      </c>
      <c r="BB8" s="5" t="s">
        <v>70</v>
      </c>
      <c r="BC8" s="5">
        <v>4.0</v>
      </c>
      <c r="BD8" s="5">
        <v>4.0</v>
      </c>
      <c r="BE8" s="5" t="s">
        <v>153</v>
      </c>
    </row>
    <row r="9" ht="22.5" customHeight="1">
      <c r="A9" s="4">
        <v>46021.696528368055</v>
      </c>
      <c r="B9" s="5" t="s">
        <v>57</v>
      </c>
      <c r="C9" s="5" t="s">
        <v>58</v>
      </c>
      <c r="D9" s="5" t="s">
        <v>58</v>
      </c>
      <c r="E9" s="5" t="s">
        <v>59</v>
      </c>
      <c r="F9" s="5" t="s">
        <v>60</v>
      </c>
      <c r="G9" s="5" t="s">
        <v>61</v>
      </c>
      <c r="H9" s="5" t="s">
        <v>60</v>
      </c>
      <c r="I9" s="5" t="s">
        <v>60</v>
      </c>
      <c r="J9" s="5" t="s">
        <v>62</v>
      </c>
      <c r="K9" s="5" t="s">
        <v>63</v>
      </c>
      <c r="L9" s="5" t="s">
        <v>64</v>
      </c>
      <c r="M9" s="5" t="s">
        <v>65</v>
      </c>
      <c r="N9" s="5" t="s">
        <v>58</v>
      </c>
      <c r="O9" s="5" t="s">
        <v>67</v>
      </c>
      <c r="P9" s="5" t="s">
        <v>58</v>
      </c>
      <c r="Q9" s="5" t="s">
        <v>58</v>
      </c>
      <c r="R9" s="5" t="s">
        <v>67</v>
      </c>
      <c r="S9" s="5" t="s">
        <v>66</v>
      </c>
      <c r="T9" s="5" t="s">
        <v>58</v>
      </c>
      <c r="U9" s="5" t="s">
        <v>58</v>
      </c>
      <c r="V9" s="5" t="s">
        <v>67</v>
      </c>
      <c r="W9" s="5" t="s">
        <v>58</v>
      </c>
      <c r="X9" s="5" t="s">
        <v>58</v>
      </c>
      <c r="Y9" s="5" t="s">
        <v>67</v>
      </c>
      <c r="Z9" s="5" t="s">
        <v>66</v>
      </c>
      <c r="AA9" s="5" t="s">
        <v>58</v>
      </c>
      <c r="AB9" s="5" t="s">
        <v>58</v>
      </c>
      <c r="AC9" s="5" t="s">
        <v>67</v>
      </c>
      <c r="AD9" s="5" t="s">
        <v>58</v>
      </c>
      <c r="AE9" s="5" t="s">
        <v>58</v>
      </c>
      <c r="AF9" s="5" t="s">
        <v>67</v>
      </c>
      <c r="AG9" s="5" t="s">
        <v>66</v>
      </c>
      <c r="AH9" s="5" t="s">
        <v>58</v>
      </c>
      <c r="AI9" s="5" t="s">
        <v>72</v>
      </c>
      <c r="AJ9" s="5" t="s">
        <v>69</v>
      </c>
      <c r="AK9" s="5" t="s">
        <v>69</v>
      </c>
      <c r="AL9" s="5">
        <v>2.0</v>
      </c>
      <c r="AM9" s="5">
        <v>3.0</v>
      </c>
      <c r="AN9" s="5">
        <v>3.0</v>
      </c>
      <c r="AO9" s="5">
        <v>3.0</v>
      </c>
      <c r="AP9" s="5">
        <v>4.0</v>
      </c>
      <c r="AQ9" s="5">
        <v>3.0</v>
      </c>
      <c r="AR9" s="5">
        <v>1.0</v>
      </c>
      <c r="AS9" s="5">
        <v>5.0</v>
      </c>
      <c r="AT9" s="5">
        <v>1.0</v>
      </c>
      <c r="AU9" s="5">
        <v>5.0</v>
      </c>
      <c r="AV9" s="5">
        <v>1.0</v>
      </c>
      <c r="AW9" s="5">
        <v>5.0</v>
      </c>
      <c r="AX9" s="5">
        <v>1.0</v>
      </c>
      <c r="AY9" s="5">
        <v>5.0</v>
      </c>
      <c r="AZ9" s="5">
        <v>1.0</v>
      </c>
      <c r="BA9" s="5">
        <v>5.0</v>
      </c>
      <c r="BB9" s="5" t="s">
        <v>74</v>
      </c>
      <c r="BC9" s="5">
        <v>1.0</v>
      </c>
      <c r="BD9" s="5">
        <v>4.0</v>
      </c>
      <c r="BE9" s="5" t="s">
        <v>154</v>
      </c>
    </row>
    <row r="10" ht="22.5" customHeight="1">
      <c r="A10" s="4">
        <v>46021.82716944444</v>
      </c>
      <c r="B10" s="5" t="s">
        <v>57</v>
      </c>
      <c r="C10" s="5" t="s">
        <v>58</v>
      </c>
      <c r="D10" s="5" t="s">
        <v>58</v>
      </c>
      <c r="E10" s="5" t="s">
        <v>59</v>
      </c>
      <c r="F10" s="5" t="s">
        <v>60</v>
      </c>
      <c r="G10" s="5" t="s">
        <v>61</v>
      </c>
      <c r="H10" s="5" t="s">
        <v>60</v>
      </c>
      <c r="I10" s="5" t="s">
        <v>60</v>
      </c>
      <c r="J10" s="5" t="s">
        <v>62</v>
      </c>
      <c r="K10" s="5" t="s">
        <v>63</v>
      </c>
      <c r="L10" s="5" t="s">
        <v>64</v>
      </c>
      <c r="M10" s="5" t="s">
        <v>65</v>
      </c>
      <c r="N10" s="5" t="s">
        <v>67</v>
      </c>
      <c r="O10" s="5" t="s">
        <v>67</v>
      </c>
      <c r="P10" s="5" t="s">
        <v>67</v>
      </c>
      <c r="Q10" s="5" t="s">
        <v>67</v>
      </c>
      <c r="R10" s="5" t="s">
        <v>67</v>
      </c>
      <c r="S10" s="5" t="s">
        <v>67</v>
      </c>
      <c r="T10" s="5" t="s">
        <v>58</v>
      </c>
      <c r="U10" s="5" t="s">
        <v>67</v>
      </c>
      <c r="V10" s="5" t="s">
        <v>67</v>
      </c>
      <c r="W10" s="5" t="s">
        <v>67</v>
      </c>
      <c r="X10" s="5" t="s">
        <v>67</v>
      </c>
      <c r="Y10" s="5" t="s">
        <v>67</v>
      </c>
      <c r="Z10" s="5" t="s">
        <v>67</v>
      </c>
      <c r="AA10" s="5" t="s">
        <v>58</v>
      </c>
      <c r="AB10" s="5" t="s">
        <v>67</v>
      </c>
      <c r="AC10" s="5" t="s">
        <v>67</v>
      </c>
      <c r="AD10" s="5" t="s">
        <v>58</v>
      </c>
      <c r="AE10" s="5" t="s">
        <v>67</v>
      </c>
      <c r="AF10" s="5" t="s">
        <v>67</v>
      </c>
      <c r="AG10" s="5" t="s">
        <v>67</v>
      </c>
      <c r="AH10" s="5" t="s">
        <v>58</v>
      </c>
      <c r="AI10" s="5" t="s">
        <v>68</v>
      </c>
      <c r="AJ10" s="5" t="s">
        <v>69</v>
      </c>
      <c r="AK10" s="5" t="s">
        <v>68</v>
      </c>
      <c r="AL10" s="5">
        <v>3.0</v>
      </c>
      <c r="AM10" s="5">
        <v>4.0</v>
      </c>
      <c r="AN10" s="5">
        <v>4.0</v>
      </c>
      <c r="AO10" s="5">
        <v>2.0</v>
      </c>
      <c r="AP10" s="5">
        <v>5.0</v>
      </c>
      <c r="AQ10" s="5">
        <v>4.0</v>
      </c>
      <c r="AR10" s="5">
        <v>3.0</v>
      </c>
      <c r="AS10" s="5">
        <v>4.0</v>
      </c>
      <c r="AT10" s="5">
        <v>1.0</v>
      </c>
      <c r="AU10" s="5">
        <v>4.0</v>
      </c>
      <c r="AV10" s="5">
        <v>4.0</v>
      </c>
      <c r="AW10" s="5">
        <v>4.0</v>
      </c>
      <c r="AX10" s="5">
        <v>4.0</v>
      </c>
      <c r="AY10" s="5">
        <v>4.0</v>
      </c>
      <c r="AZ10" s="5">
        <v>1.0</v>
      </c>
      <c r="BA10" s="5">
        <v>4.0</v>
      </c>
      <c r="BB10" s="5" t="s">
        <v>70</v>
      </c>
      <c r="BC10" s="5">
        <v>4.0</v>
      </c>
      <c r="BD10" s="5">
        <v>6.0</v>
      </c>
      <c r="BE10" s="5" t="s">
        <v>155</v>
      </c>
    </row>
    <row r="11" ht="22.5" customHeight="1">
      <c r="A11" s="6">
        <v>46022.65749116898</v>
      </c>
      <c r="B11" s="7" t="s">
        <v>57</v>
      </c>
      <c r="C11" s="7" t="s">
        <v>58</v>
      </c>
      <c r="D11" s="7" t="s">
        <v>58</v>
      </c>
      <c r="E11" s="7" t="s">
        <v>59</v>
      </c>
      <c r="F11" s="7" t="s">
        <v>60</v>
      </c>
      <c r="G11" s="7" t="s">
        <v>61</v>
      </c>
      <c r="H11" s="7" t="s">
        <v>60</v>
      </c>
      <c r="I11" s="7" t="s">
        <v>60</v>
      </c>
      <c r="J11" s="7" t="s">
        <v>62</v>
      </c>
      <c r="K11" s="7" t="s">
        <v>63</v>
      </c>
      <c r="L11" s="7" t="s">
        <v>64</v>
      </c>
      <c r="M11" s="7" t="s">
        <v>65</v>
      </c>
      <c r="N11" s="7" t="s">
        <v>67</v>
      </c>
      <c r="O11" s="7" t="s">
        <v>67</v>
      </c>
      <c r="P11" s="7" t="s">
        <v>58</v>
      </c>
      <c r="Q11" s="7" t="s">
        <v>67</v>
      </c>
      <c r="R11" s="7" t="s">
        <v>58</v>
      </c>
      <c r="S11" s="7" t="s">
        <v>66</v>
      </c>
      <c r="T11" s="7" t="s">
        <v>58</v>
      </c>
      <c r="U11" s="7" t="s">
        <v>58</v>
      </c>
      <c r="V11" s="7" t="s">
        <v>58</v>
      </c>
      <c r="W11" s="7" t="s">
        <v>67</v>
      </c>
      <c r="X11" s="7" t="s">
        <v>58</v>
      </c>
      <c r="Y11" s="7" t="s">
        <v>67</v>
      </c>
      <c r="Z11" s="7" t="s">
        <v>58</v>
      </c>
      <c r="AA11" s="7" t="s">
        <v>67</v>
      </c>
      <c r="AB11" s="7" t="s">
        <v>67</v>
      </c>
      <c r="AC11" s="7" t="s">
        <v>58</v>
      </c>
      <c r="AD11" s="7" t="s">
        <v>67</v>
      </c>
      <c r="AE11" s="7" t="s">
        <v>58</v>
      </c>
      <c r="AF11" s="7" t="s">
        <v>58</v>
      </c>
      <c r="AG11" s="7" t="s">
        <v>58</v>
      </c>
      <c r="AH11" s="7" t="s">
        <v>58</v>
      </c>
      <c r="AI11" s="7" t="s">
        <v>68</v>
      </c>
      <c r="AJ11" s="7" t="s">
        <v>69</v>
      </c>
      <c r="AK11" s="7" t="s">
        <v>73</v>
      </c>
      <c r="AL11" s="7">
        <v>2.0</v>
      </c>
      <c r="AM11" s="7">
        <v>3.0</v>
      </c>
      <c r="AN11" s="7">
        <v>3.0</v>
      </c>
      <c r="AO11" s="7">
        <v>4.0</v>
      </c>
      <c r="AP11" s="7">
        <v>3.0</v>
      </c>
      <c r="AQ11" s="7">
        <v>3.0</v>
      </c>
      <c r="AR11" s="7">
        <v>4.0</v>
      </c>
      <c r="AS11" s="7">
        <v>5.0</v>
      </c>
      <c r="AT11" s="7">
        <v>1.0</v>
      </c>
      <c r="AU11" s="7">
        <v>5.0</v>
      </c>
      <c r="AV11" s="7">
        <v>3.0</v>
      </c>
      <c r="AW11" s="7">
        <v>5.0</v>
      </c>
      <c r="AX11" s="7">
        <v>3.0</v>
      </c>
      <c r="AY11" s="7">
        <v>5.0</v>
      </c>
      <c r="AZ11" s="7">
        <v>1.0</v>
      </c>
      <c r="BA11" s="7">
        <v>5.0</v>
      </c>
      <c r="BB11" s="7" t="s">
        <v>70</v>
      </c>
      <c r="BC11" s="7">
        <v>4.0</v>
      </c>
      <c r="BD11" s="7">
        <v>6.0</v>
      </c>
      <c r="BE11" s="7" t="s">
        <v>156</v>
      </c>
    </row>
    <row r="12" ht="22.5" customHeight="1">
      <c r="A12" s="6">
        <v>46022.75639429398</v>
      </c>
      <c r="B12" s="7" t="s">
        <v>57</v>
      </c>
      <c r="C12" s="7" t="s">
        <v>58</v>
      </c>
      <c r="D12" s="7" t="s">
        <v>58</v>
      </c>
      <c r="E12" s="7" t="s">
        <v>59</v>
      </c>
      <c r="F12" s="7" t="s">
        <v>60</v>
      </c>
      <c r="G12" s="7" t="s">
        <v>61</v>
      </c>
      <c r="H12" s="7" t="s">
        <v>60</v>
      </c>
      <c r="I12" s="7" t="s">
        <v>60</v>
      </c>
      <c r="J12" s="7" t="s">
        <v>62</v>
      </c>
      <c r="K12" s="7" t="s">
        <v>63</v>
      </c>
      <c r="L12" s="7" t="s">
        <v>64</v>
      </c>
      <c r="M12" s="7" t="s">
        <v>65</v>
      </c>
      <c r="N12" s="7" t="s">
        <v>58</v>
      </c>
      <c r="O12" s="7" t="s">
        <v>67</v>
      </c>
      <c r="P12" s="7" t="s">
        <v>67</v>
      </c>
      <c r="Q12" s="7" t="s">
        <v>58</v>
      </c>
      <c r="R12" s="7" t="s">
        <v>67</v>
      </c>
      <c r="S12" s="7" t="s">
        <v>58</v>
      </c>
      <c r="T12" s="7" t="s">
        <v>67</v>
      </c>
      <c r="U12" s="7" t="s">
        <v>67</v>
      </c>
      <c r="V12" s="7" t="s">
        <v>58</v>
      </c>
      <c r="W12" s="7" t="s">
        <v>58</v>
      </c>
      <c r="X12" s="7" t="s">
        <v>58</v>
      </c>
      <c r="Y12" s="7" t="s">
        <v>67</v>
      </c>
      <c r="Z12" s="7" t="s">
        <v>58</v>
      </c>
      <c r="AA12" s="7" t="s">
        <v>67</v>
      </c>
      <c r="AB12" s="7" t="s">
        <v>58</v>
      </c>
      <c r="AC12" s="7" t="s">
        <v>67</v>
      </c>
      <c r="AD12" s="7" t="s">
        <v>67</v>
      </c>
      <c r="AE12" s="7" t="s">
        <v>67</v>
      </c>
      <c r="AF12" s="7" t="s">
        <v>58</v>
      </c>
      <c r="AG12" s="7" t="s">
        <v>58</v>
      </c>
      <c r="AH12" s="7" t="s">
        <v>58</v>
      </c>
      <c r="AI12" s="7" t="s">
        <v>72</v>
      </c>
      <c r="AJ12" s="7" t="s">
        <v>69</v>
      </c>
      <c r="AK12" s="7" t="s">
        <v>73</v>
      </c>
      <c r="AL12" s="7">
        <v>3.0</v>
      </c>
      <c r="AM12" s="7">
        <v>5.0</v>
      </c>
      <c r="AN12" s="7">
        <v>1.0</v>
      </c>
      <c r="AO12" s="7">
        <v>1.0</v>
      </c>
      <c r="AP12" s="7">
        <v>3.0</v>
      </c>
      <c r="AQ12" s="7">
        <v>4.0</v>
      </c>
      <c r="AR12" s="7">
        <v>5.0</v>
      </c>
      <c r="AS12" s="7">
        <v>3.0</v>
      </c>
      <c r="AT12" s="7">
        <v>3.0</v>
      </c>
      <c r="AU12" s="7">
        <v>2.0</v>
      </c>
      <c r="AV12" s="7">
        <v>4.0</v>
      </c>
      <c r="AW12" s="7">
        <v>4.0</v>
      </c>
      <c r="AX12" s="7">
        <v>4.0</v>
      </c>
      <c r="AY12" s="7">
        <v>2.0</v>
      </c>
      <c r="AZ12" s="7">
        <v>1.0</v>
      </c>
      <c r="BA12" s="7">
        <v>1.0</v>
      </c>
      <c r="BB12" s="7" t="s">
        <v>70</v>
      </c>
      <c r="BC12" s="7">
        <v>5.0</v>
      </c>
      <c r="BD12" s="7">
        <v>5.0</v>
      </c>
      <c r="BE12" s="7" t="s">
        <v>157</v>
      </c>
    </row>
    <row r="13" ht="22.5" customHeight="1">
      <c r="A13" s="6">
        <v>46024.52625796296</v>
      </c>
      <c r="B13" s="7" t="s">
        <v>57</v>
      </c>
      <c r="C13" s="7" t="s">
        <v>58</v>
      </c>
      <c r="D13" s="7" t="s">
        <v>58</v>
      </c>
      <c r="E13" s="7" t="s">
        <v>59</v>
      </c>
      <c r="F13" s="7" t="s">
        <v>60</v>
      </c>
      <c r="G13" s="7" t="s">
        <v>61</v>
      </c>
      <c r="H13" s="7" t="s">
        <v>60</v>
      </c>
      <c r="I13" s="7" t="s">
        <v>60</v>
      </c>
      <c r="J13" s="7" t="s">
        <v>62</v>
      </c>
      <c r="K13" s="7" t="s">
        <v>63</v>
      </c>
      <c r="L13" s="7" t="s">
        <v>64</v>
      </c>
      <c r="M13" s="7" t="s">
        <v>65</v>
      </c>
      <c r="N13" s="7" t="s">
        <v>67</v>
      </c>
      <c r="O13" s="7" t="s">
        <v>67</v>
      </c>
      <c r="P13" s="7" t="s">
        <v>58</v>
      </c>
      <c r="Q13" s="7" t="s">
        <v>58</v>
      </c>
      <c r="R13" s="7" t="s">
        <v>67</v>
      </c>
      <c r="S13" s="7" t="s">
        <v>66</v>
      </c>
      <c r="T13" s="7" t="s">
        <v>58</v>
      </c>
      <c r="U13" s="7" t="s">
        <v>58</v>
      </c>
      <c r="V13" s="7" t="s">
        <v>58</v>
      </c>
      <c r="W13" s="7" t="s">
        <v>58</v>
      </c>
      <c r="X13" s="7" t="s">
        <v>58</v>
      </c>
      <c r="Y13" s="7" t="s">
        <v>67</v>
      </c>
      <c r="Z13" s="7" t="s">
        <v>66</v>
      </c>
      <c r="AA13" s="7" t="s">
        <v>58</v>
      </c>
      <c r="AB13" s="7" t="s">
        <v>67</v>
      </c>
      <c r="AC13" s="7" t="s">
        <v>67</v>
      </c>
      <c r="AD13" s="7" t="s">
        <v>58</v>
      </c>
      <c r="AE13" s="7" t="s">
        <v>58</v>
      </c>
      <c r="AF13" s="7" t="s">
        <v>58</v>
      </c>
      <c r="AG13" s="7" t="s">
        <v>66</v>
      </c>
      <c r="AH13" s="7" t="s">
        <v>58</v>
      </c>
      <c r="AI13" s="7" t="s">
        <v>72</v>
      </c>
      <c r="AJ13" s="7" t="s">
        <v>69</v>
      </c>
      <c r="AK13" s="7" t="s">
        <v>69</v>
      </c>
      <c r="AL13" s="7">
        <v>3.0</v>
      </c>
      <c r="AM13" s="7">
        <v>4.0</v>
      </c>
      <c r="AN13" s="7">
        <v>2.0</v>
      </c>
      <c r="AO13" s="7">
        <v>2.0</v>
      </c>
      <c r="AP13" s="7">
        <v>4.0</v>
      </c>
      <c r="AQ13" s="7">
        <v>3.0</v>
      </c>
      <c r="AR13" s="7">
        <v>1.0</v>
      </c>
      <c r="AS13" s="7">
        <v>5.0</v>
      </c>
      <c r="AT13" s="7">
        <v>1.0</v>
      </c>
      <c r="AU13" s="7">
        <v>5.0</v>
      </c>
      <c r="AV13" s="7">
        <v>3.0</v>
      </c>
      <c r="AW13" s="7">
        <v>5.0</v>
      </c>
      <c r="AX13" s="7">
        <v>1.0</v>
      </c>
      <c r="AY13" s="7">
        <v>5.0</v>
      </c>
      <c r="AZ13" s="7">
        <v>1.0</v>
      </c>
      <c r="BA13" s="7">
        <v>5.0</v>
      </c>
      <c r="BB13" s="7" t="s">
        <v>70</v>
      </c>
      <c r="BC13" s="7">
        <v>2.0</v>
      </c>
      <c r="BD13" s="7">
        <v>5.0</v>
      </c>
      <c r="BE13" s="7" t="s">
        <v>158</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7.13"/>
    <col customWidth="1" min="6" max="48" width="37.63"/>
    <col customWidth="1" min="49" max="49" width="31.5"/>
    <col customWidth="1" min="50" max="53" width="37.63"/>
    <col customWidth="1" min="54" max="54" width="18.88"/>
    <col customWidth="1" min="55" max="56" width="37.63"/>
    <col customWidth="1" min="57" max="63"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16</v>
      </c>
      <c r="Q1" s="3" t="s">
        <v>15</v>
      </c>
      <c r="R1" s="3" t="s">
        <v>17</v>
      </c>
      <c r="S1" s="3" t="s">
        <v>18</v>
      </c>
      <c r="T1" s="3" t="s">
        <v>19</v>
      </c>
      <c r="U1" s="3" t="s">
        <v>20</v>
      </c>
      <c r="V1" s="3" t="s">
        <v>21</v>
      </c>
      <c r="W1" s="3" t="s">
        <v>22</v>
      </c>
      <c r="X1" s="3" t="s">
        <v>25</v>
      </c>
      <c r="Y1" s="3" t="s">
        <v>23</v>
      </c>
      <c r="Z1" s="3" t="s">
        <v>24</v>
      </c>
      <c r="AA1" s="3" t="s">
        <v>26</v>
      </c>
      <c r="AB1" s="3" t="s">
        <v>27</v>
      </c>
      <c r="AC1" s="3" t="s">
        <v>28</v>
      </c>
      <c r="AD1" s="3" t="s">
        <v>33</v>
      </c>
      <c r="AE1" s="3" t="s">
        <v>29</v>
      </c>
      <c r="AF1" s="3" t="s">
        <v>30</v>
      </c>
      <c r="AG1" s="3" t="s">
        <v>31</v>
      </c>
      <c r="AH1" s="3" t="s">
        <v>32</v>
      </c>
      <c r="AI1" s="3" t="s">
        <v>34</v>
      </c>
      <c r="AJ1" s="3" t="s">
        <v>159</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ht="22.5" customHeight="1">
      <c r="A2" s="4">
        <v>46020.67656774305</v>
      </c>
      <c r="B2" s="5" t="s">
        <v>57</v>
      </c>
      <c r="C2" s="5" t="s">
        <v>58</v>
      </c>
      <c r="D2" s="5" t="s">
        <v>58</v>
      </c>
      <c r="E2" s="5" t="s">
        <v>59</v>
      </c>
      <c r="F2" s="5" t="s">
        <v>60</v>
      </c>
      <c r="G2" s="5" t="s">
        <v>61</v>
      </c>
      <c r="H2" s="5" t="s">
        <v>60</v>
      </c>
      <c r="I2" s="5" t="s">
        <v>60</v>
      </c>
      <c r="J2" s="5" t="s">
        <v>62</v>
      </c>
      <c r="K2" s="5" t="s">
        <v>63</v>
      </c>
      <c r="L2" s="5" t="s">
        <v>64</v>
      </c>
      <c r="M2" s="5" t="s">
        <v>65</v>
      </c>
      <c r="N2" s="5" t="s">
        <v>58</v>
      </c>
      <c r="O2" s="5" t="s">
        <v>67</v>
      </c>
      <c r="P2" s="5" t="s">
        <v>67</v>
      </c>
      <c r="Q2" s="5" t="s">
        <v>66</v>
      </c>
      <c r="R2" s="5" t="s">
        <v>58</v>
      </c>
      <c r="S2" s="5" t="s">
        <v>58</v>
      </c>
      <c r="T2" s="5" t="s">
        <v>58</v>
      </c>
      <c r="U2" s="5" t="s">
        <v>58</v>
      </c>
      <c r="V2" s="5" t="s">
        <v>67</v>
      </c>
      <c r="W2" s="5" t="s">
        <v>67</v>
      </c>
      <c r="X2" s="5" t="s">
        <v>66</v>
      </c>
      <c r="Y2" s="5" t="s">
        <v>58</v>
      </c>
      <c r="Z2" s="5" t="s">
        <v>58</v>
      </c>
      <c r="AA2" s="5" t="s">
        <v>58</v>
      </c>
      <c r="AB2" s="5" t="s">
        <v>58</v>
      </c>
      <c r="AC2" s="5" t="s">
        <v>67</v>
      </c>
      <c r="AD2" s="5" t="s">
        <v>66</v>
      </c>
      <c r="AE2" s="5" t="s">
        <v>67</v>
      </c>
      <c r="AF2" s="5" t="s">
        <v>58</v>
      </c>
      <c r="AG2" s="5" t="s">
        <v>58</v>
      </c>
      <c r="AH2" s="5" t="s">
        <v>58</v>
      </c>
      <c r="AI2" s="5" t="s">
        <v>77</v>
      </c>
      <c r="AJ2" s="5" t="s">
        <v>69</v>
      </c>
      <c r="AK2" s="5" t="s">
        <v>73</v>
      </c>
      <c r="AL2" s="5">
        <v>4.0</v>
      </c>
      <c r="AM2" s="5">
        <v>3.0</v>
      </c>
      <c r="AN2" s="5">
        <v>2.0</v>
      </c>
      <c r="AO2" s="5">
        <v>3.0</v>
      </c>
      <c r="AP2" s="5">
        <v>5.0</v>
      </c>
      <c r="AQ2" s="5">
        <v>2.0</v>
      </c>
      <c r="AR2" s="5">
        <v>2.0</v>
      </c>
      <c r="AS2" s="5">
        <v>4.0</v>
      </c>
      <c r="AT2" s="5">
        <v>1.0</v>
      </c>
      <c r="AU2" s="5">
        <v>2.0</v>
      </c>
      <c r="AV2" s="5">
        <v>4.0</v>
      </c>
      <c r="AW2" s="5">
        <v>5.0</v>
      </c>
      <c r="AX2" s="5">
        <v>4.0</v>
      </c>
      <c r="AY2" s="5">
        <v>3.0</v>
      </c>
      <c r="AZ2" s="5">
        <v>2.0</v>
      </c>
      <c r="BA2" s="5">
        <v>3.0</v>
      </c>
      <c r="BB2" s="5" t="s">
        <v>70</v>
      </c>
      <c r="BC2" s="5">
        <v>4.0</v>
      </c>
      <c r="BD2" s="5">
        <v>6.0</v>
      </c>
      <c r="BE2" s="5" t="s">
        <v>160</v>
      </c>
    </row>
    <row r="3" ht="22.5" customHeight="1">
      <c r="A3" s="4">
        <v>46020.85766018518</v>
      </c>
      <c r="B3" s="5" t="s">
        <v>57</v>
      </c>
      <c r="C3" s="5" t="s">
        <v>58</v>
      </c>
      <c r="D3" s="5" t="s">
        <v>58</v>
      </c>
      <c r="E3" s="5" t="s">
        <v>59</v>
      </c>
      <c r="F3" s="5" t="s">
        <v>60</v>
      </c>
      <c r="G3" s="5" t="s">
        <v>61</v>
      </c>
      <c r="H3" s="5" t="s">
        <v>60</v>
      </c>
      <c r="I3" s="5" t="s">
        <v>60</v>
      </c>
      <c r="J3" s="5" t="s">
        <v>62</v>
      </c>
      <c r="K3" s="5" t="s">
        <v>63</v>
      </c>
      <c r="L3" s="5" t="s">
        <v>64</v>
      </c>
      <c r="M3" s="5" t="s">
        <v>65</v>
      </c>
      <c r="N3" s="5" t="s">
        <v>67</v>
      </c>
      <c r="O3" s="5" t="s">
        <v>67</v>
      </c>
      <c r="P3" s="5" t="s">
        <v>67</v>
      </c>
      <c r="Q3" s="5" t="s">
        <v>66</v>
      </c>
      <c r="R3" s="5" t="s">
        <v>67</v>
      </c>
      <c r="S3" s="5" t="s">
        <v>67</v>
      </c>
      <c r="T3" s="5" t="s">
        <v>67</v>
      </c>
      <c r="U3" s="5" t="s">
        <v>67</v>
      </c>
      <c r="V3" s="5" t="s">
        <v>67</v>
      </c>
      <c r="W3" s="5" t="s">
        <v>67</v>
      </c>
      <c r="X3" s="5" t="s">
        <v>66</v>
      </c>
      <c r="Y3" s="5" t="s">
        <v>67</v>
      </c>
      <c r="Z3" s="5" t="s">
        <v>67</v>
      </c>
      <c r="AA3" s="5" t="s">
        <v>67</v>
      </c>
      <c r="AB3" s="5" t="s">
        <v>67</v>
      </c>
      <c r="AC3" s="5" t="s">
        <v>67</v>
      </c>
      <c r="AD3" s="5" t="s">
        <v>66</v>
      </c>
      <c r="AE3" s="5" t="s">
        <v>67</v>
      </c>
      <c r="AF3" s="5" t="s">
        <v>67</v>
      </c>
      <c r="AG3" s="5" t="s">
        <v>67</v>
      </c>
      <c r="AH3" s="5" t="s">
        <v>67</v>
      </c>
      <c r="AI3" s="5" t="s">
        <v>72</v>
      </c>
      <c r="AJ3" s="5" t="s">
        <v>73</v>
      </c>
      <c r="AK3" s="5" t="s">
        <v>68</v>
      </c>
      <c r="AL3" s="5">
        <v>3.0</v>
      </c>
      <c r="AM3" s="5">
        <v>4.0</v>
      </c>
      <c r="AN3" s="5">
        <v>2.0</v>
      </c>
      <c r="AO3" s="5">
        <v>3.0</v>
      </c>
      <c r="AP3" s="5">
        <v>3.0</v>
      </c>
      <c r="AQ3" s="5">
        <v>1.0</v>
      </c>
      <c r="AR3" s="5">
        <v>1.0</v>
      </c>
      <c r="AS3" s="5">
        <v>2.0</v>
      </c>
      <c r="AT3" s="5">
        <v>1.0</v>
      </c>
      <c r="AU3" s="5">
        <v>1.0</v>
      </c>
      <c r="AV3" s="5">
        <v>3.0</v>
      </c>
      <c r="AW3" s="5">
        <v>1.0</v>
      </c>
      <c r="AX3" s="5">
        <v>1.0</v>
      </c>
      <c r="AY3" s="5">
        <v>1.0</v>
      </c>
      <c r="AZ3" s="5">
        <v>1.0</v>
      </c>
      <c r="BA3" s="5">
        <v>2.0</v>
      </c>
      <c r="BB3" s="5" t="s">
        <v>74</v>
      </c>
      <c r="BC3" s="5">
        <v>5.0</v>
      </c>
      <c r="BD3" s="5">
        <v>3.0</v>
      </c>
      <c r="BE3" s="5" t="s">
        <v>161</v>
      </c>
    </row>
    <row r="4" ht="22.5" customHeight="1">
      <c r="A4" s="4">
        <v>46021.08941170139</v>
      </c>
      <c r="B4" s="5" t="s">
        <v>57</v>
      </c>
      <c r="C4" s="5" t="s">
        <v>58</v>
      </c>
      <c r="D4" s="5" t="s">
        <v>58</v>
      </c>
      <c r="E4" s="5" t="s">
        <v>59</v>
      </c>
      <c r="F4" s="5" t="s">
        <v>60</v>
      </c>
      <c r="G4" s="5" t="s">
        <v>61</v>
      </c>
      <c r="H4" s="5" t="s">
        <v>60</v>
      </c>
      <c r="I4" s="5" t="s">
        <v>60</v>
      </c>
      <c r="J4" s="5" t="s">
        <v>62</v>
      </c>
      <c r="K4" s="5" t="s">
        <v>63</v>
      </c>
      <c r="L4" s="5" t="s">
        <v>97</v>
      </c>
      <c r="M4" s="5" t="s">
        <v>97</v>
      </c>
      <c r="N4" s="5" t="s">
        <v>67</v>
      </c>
      <c r="O4" s="5" t="s">
        <v>58</v>
      </c>
      <c r="P4" s="5" t="s">
        <v>67</v>
      </c>
      <c r="Q4" s="5" t="s">
        <v>66</v>
      </c>
      <c r="R4" s="5" t="s">
        <v>67</v>
      </c>
      <c r="S4" s="5" t="s">
        <v>67</v>
      </c>
      <c r="T4" s="5" t="s">
        <v>58</v>
      </c>
      <c r="U4" s="5" t="s">
        <v>67</v>
      </c>
      <c r="V4" s="5" t="s">
        <v>58</v>
      </c>
      <c r="W4" s="5" t="s">
        <v>58</v>
      </c>
      <c r="X4" s="5" t="s">
        <v>66</v>
      </c>
      <c r="Y4" s="5" t="s">
        <v>67</v>
      </c>
      <c r="Z4" s="5" t="s">
        <v>67</v>
      </c>
      <c r="AA4" s="5" t="s">
        <v>58</v>
      </c>
      <c r="AB4" s="5" t="s">
        <v>67</v>
      </c>
      <c r="AC4" s="5" t="s">
        <v>67</v>
      </c>
      <c r="AD4" s="5" t="s">
        <v>66</v>
      </c>
      <c r="AE4" s="5" t="s">
        <v>58</v>
      </c>
      <c r="AF4" s="5" t="s">
        <v>58</v>
      </c>
      <c r="AG4" s="5" t="s">
        <v>58</v>
      </c>
      <c r="AH4" s="5" t="s">
        <v>58</v>
      </c>
      <c r="AI4" s="5" t="s">
        <v>72</v>
      </c>
      <c r="AJ4" s="5" t="s">
        <v>69</v>
      </c>
      <c r="AK4" s="5" t="s">
        <v>68</v>
      </c>
      <c r="AL4" s="5">
        <v>2.0</v>
      </c>
      <c r="AM4" s="5">
        <v>4.0</v>
      </c>
      <c r="AN4" s="5">
        <v>2.0</v>
      </c>
      <c r="AO4" s="5">
        <v>3.0</v>
      </c>
      <c r="AP4" s="5">
        <v>4.0</v>
      </c>
      <c r="AQ4" s="5">
        <v>3.0</v>
      </c>
      <c r="AR4" s="5">
        <v>3.0</v>
      </c>
      <c r="AS4" s="5">
        <v>2.0</v>
      </c>
      <c r="AT4" s="5">
        <v>5.0</v>
      </c>
      <c r="AU4" s="5">
        <v>2.0</v>
      </c>
      <c r="AV4" s="5">
        <v>3.0</v>
      </c>
      <c r="AW4" s="5">
        <v>2.0</v>
      </c>
      <c r="AX4" s="5">
        <v>5.0</v>
      </c>
      <c r="AY4" s="5">
        <v>2.0</v>
      </c>
      <c r="AZ4" s="5">
        <v>3.0</v>
      </c>
      <c r="BA4" s="5">
        <v>4.0</v>
      </c>
      <c r="BB4" s="5" t="s">
        <v>74</v>
      </c>
      <c r="BC4" s="5">
        <v>5.0</v>
      </c>
      <c r="BD4" s="5">
        <v>8.0</v>
      </c>
      <c r="BE4" s="5" t="s">
        <v>162</v>
      </c>
    </row>
    <row r="5" ht="22.5" customHeight="1">
      <c r="A5" s="4">
        <v>46021.55882868056</v>
      </c>
      <c r="B5" s="5" t="s">
        <v>57</v>
      </c>
      <c r="C5" s="5" t="s">
        <v>58</v>
      </c>
      <c r="D5" s="5" t="s">
        <v>58</v>
      </c>
      <c r="E5" s="5" t="s">
        <v>59</v>
      </c>
      <c r="F5" s="5" t="s">
        <v>60</v>
      </c>
      <c r="G5" s="5" t="s">
        <v>61</v>
      </c>
      <c r="H5" s="5" t="s">
        <v>60</v>
      </c>
      <c r="I5" s="5" t="s">
        <v>60</v>
      </c>
      <c r="J5" s="5" t="s">
        <v>62</v>
      </c>
      <c r="K5" s="5" t="s">
        <v>63</v>
      </c>
      <c r="L5" s="5" t="s">
        <v>97</v>
      </c>
      <c r="M5" s="5" t="s">
        <v>65</v>
      </c>
      <c r="N5" s="5" t="s">
        <v>58</v>
      </c>
      <c r="O5" s="5" t="s">
        <v>67</v>
      </c>
      <c r="P5" s="5" t="s">
        <v>67</v>
      </c>
      <c r="Q5" s="5" t="s">
        <v>66</v>
      </c>
      <c r="R5" s="5" t="s">
        <v>58</v>
      </c>
      <c r="S5" s="5" t="s">
        <v>58</v>
      </c>
      <c r="T5" s="5" t="s">
        <v>58</v>
      </c>
      <c r="U5" s="5" t="s">
        <v>58</v>
      </c>
      <c r="V5" s="5" t="s">
        <v>67</v>
      </c>
      <c r="W5" s="5" t="s">
        <v>67</v>
      </c>
      <c r="X5" s="5" t="s">
        <v>66</v>
      </c>
      <c r="Y5" s="5" t="s">
        <v>58</v>
      </c>
      <c r="Z5" s="5" t="s">
        <v>58</v>
      </c>
      <c r="AA5" s="5" t="s">
        <v>58</v>
      </c>
      <c r="AB5" s="5" t="s">
        <v>58</v>
      </c>
      <c r="AC5" s="5" t="s">
        <v>67</v>
      </c>
      <c r="AD5" s="5" t="s">
        <v>66</v>
      </c>
      <c r="AE5" s="5" t="s">
        <v>67</v>
      </c>
      <c r="AF5" s="5" t="s">
        <v>58</v>
      </c>
      <c r="AG5" s="5" t="s">
        <v>58</v>
      </c>
      <c r="AH5" s="5" t="s">
        <v>58</v>
      </c>
      <c r="AI5" s="5" t="s">
        <v>72</v>
      </c>
      <c r="AJ5" s="5" t="s">
        <v>69</v>
      </c>
      <c r="AK5" s="5" t="s">
        <v>73</v>
      </c>
      <c r="AL5" s="5">
        <v>3.0</v>
      </c>
      <c r="AM5" s="5">
        <v>4.0</v>
      </c>
      <c r="AN5" s="5">
        <v>3.0</v>
      </c>
      <c r="AO5" s="5">
        <v>2.0</v>
      </c>
      <c r="AP5" s="5">
        <v>3.0</v>
      </c>
      <c r="AQ5" s="5">
        <v>3.0</v>
      </c>
      <c r="AR5" s="5">
        <v>2.0</v>
      </c>
      <c r="AS5" s="5">
        <v>3.0</v>
      </c>
      <c r="AT5" s="5">
        <v>3.0</v>
      </c>
      <c r="AU5" s="5">
        <v>3.0</v>
      </c>
      <c r="AV5" s="5">
        <v>4.0</v>
      </c>
      <c r="AW5" s="5">
        <v>3.0</v>
      </c>
      <c r="AX5" s="5">
        <v>3.0</v>
      </c>
      <c r="AY5" s="5">
        <v>3.0</v>
      </c>
      <c r="AZ5" s="5">
        <v>3.0</v>
      </c>
      <c r="BA5" s="5">
        <v>3.0</v>
      </c>
      <c r="BB5" s="5" t="s">
        <v>70</v>
      </c>
      <c r="BC5" s="5">
        <v>4.0</v>
      </c>
      <c r="BD5" s="5">
        <v>5.0</v>
      </c>
      <c r="BE5" s="5" t="s">
        <v>163</v>
      </c>
    </row>
    <row r="6" ht="22.5" customHeight="1">
      <c r="A6" s="4">
        <v>46022.00619048611</v>
      </c>
      <c r="B6" s="5" t="s">
        <v>57</v>
      </c>
      <c r="C6" s="5" t="s">
        <v>58</v>
      </c>
      <c r="D6" s="5" t="s">
        <v>58</v>
      </c>
      <c r="E6" s="5" t="s">
        <v>59</v>
      </c>
      <c r="F6" s="5" t="s">
        <v>60</v>
      </c>
      <c r="G6" s="5" t="s">
        <v>61</v>
      </c>
      <c r="H6" s="5" t="s">
        <v>60</v>
      </c>
      <c r="I6" s="5" t="s">
        <v>60</v>
      </c>
      <c r="J6" s="5" t="s">
        <v>62</v>
      </c>
      <c r="K6" s="5" t="s">
        <v>63</v>
      </c>
      <c r="L6" s="5" t="s">
        <v>64</v>
      </c>
      <c r="M6" s="5" t="s">
        <v>65</v>
      </c>
      <c r="N6" s="5" t="s">
        <v>58</v>
      </c>
      <c r="O6" s="5" t="s">
        <v>67</v>
      </c>
      <c r="P6" s="5" t="s">
        <v>67</v>
      </c>
      <c r="Q6" s="5" t="s">
        <v>66</v>
      </c>
      <c r="R6" s="5" t="s">
        <v>67</v>
      </c>
      <c r="S6" s="5" t="s">
        <v>67</v>
      </c>
      <c r="T6" s="5" t="s">
        <v>67</v>
      </c>
      <c r="U6" s="5" t="s">
        <v>67</v>
      </c>
      <c r="V6" s="5" t="s">
        <v>67</v>
      </c>
      <c r="W6" s="5" t="s">
        <v>67</v>
      </c>
      <c r="X6" s="5" t="s">
        <v>66</v>
      </c>
      <c r="Y6" s="5" t="s">
        <v>67</v>
      </c>
      <c r="Z6" s="5" t="s">
        <v>58</v>
      </c>
      <c r="AA6" s="5" t="s">
        <v>67</v>
      </c>
      <c r="AB6" s="5" t="s">
        <v>67</v>
      </c>
      <c r="AC6" s="5" t="s">
        <v>67</v>
      </c>
      <c r="AD6" s="5" t="s">
        <v>66</v>
      </c>
      <c r="AE6" s="5" t="s">
        <v>67</v>
      </c>
      <c r="AF6" s="5" t="s">
        <v>67</v>
      </c>
      <c r="AG6" s="5" t="s">
        <v>58</v>
      </c>
      <c r="AH6" s="5" t="s">
        <v>58</v>
      </c>
      <c r="AI6" s="5" t="s">
        <v>77</v>
      </c>
      <c r="AJ6" s="5" t="s">
        <v>68</v>
      </c>
      <c r="AK6" s="5" t="s">
        <v>69</v>
      </c>
      <c r="AL6" s="5">
        <v>4.0</v>
      </c>
      <c r="AM6" s="5">
        <v>4.0</v>
      </c>
      <c r="AN6" s="5">
        <v>3.0</v>
      </c>
      <c r="AO6" s="5">
        <v>2.0</v>
      </c>
      <c r="AP6" s="5">
        <v>4.0</v>
      </c>
      <c r="AQ6" s="5">
        <v>3.0</v>
      </c>
      <c r="AR6" s="5">
        <v>2.0</v>
      </c>
      <c r="AS6" s="5">
        <v>5.0</v>
      </c>
      <c r="AT6" s="5">
        <v>1.0</v>
      </c>
      <c r="AU6" s="5">
        <v>4.0</v>
      </c>
      <c r="AV6" s="5">
        <v>3.0</v>
      </c>
      <c r="AW6" s="5">
        <v>5.0</v>
      </c>
      <c r="AX6" s="5">
        <v>3.0</v>
      </c>
      <c r="AY6" s="5">
        <v>5.0</v>
      </c>
      <c r="AZ6" s="5">
        <v>1.0</v>
      </c>
      <c r="BA6" s="5">
        <v>4.0</v>
      </c>
      <c r="BB6" s="5" t="s">
        <v>70</v>
      </c>
      <c r="BC6" s="5">
        <v>2.0</v>
      </c>
      <c r="BD6" s="5">
        <v>6.0</v>
      </c>
      <c r="BE6" s="5" t="s">
        <v>164</v>
      </c>
    </row>
    <row r="7" ht="22.5" customHeight="1">
      <c r="A7" s="6">
        <v>46022.75781016204</v>
      </c>
      <c r="B7" s="7" t="s">
        <v>57</v>
      </c>
      <c r="C7" s="7" t="s">
        <v>58</v>
      </c>
      <c r="D7" s="7" t="s">
        <v>58</v>
      </c>
      <c r="E7" s="7" t="s">
        <v>59</v>
      </c>
      <c r="F7" s="7" t="s">
        <v>60</v>
      </c>
      <c r="G7" s="7" t="s">
        <v>61</v>
      </c>
      <c r="H7" s="7" t="s">
        <v>60</v>
      </c>
      <c r="I7" s="7" t="s">
        <v>60</v>
      </c>
      <c r="J7" s="7" t="s">
        <v>62</v>
      </c>
      <c r="K7" s="7" t="s">
        <v>63</v>
      </c>
      <c r="L7" s="7" t="s">
        <v>64</v>
      </c>
      <c r="M7" s="7" t="s">
        <v>65</v>
      </c>
      <c r="N7" s="7" t="s">
        <v>58</v>
      </c>
      <c r="O7" s="7" t="s">
        <v>67</v>
      </c>
      <c r="P7" s="7" t="s">
        <v>58</v>
      </c>
      <c r="Q7" s="7" t="s">
        <v>66</v>
      </c>
      <c r="R7" s="7" t="s">
        <v>67</v>
      </c>
      <c r="S7" s="7" t="s">
        <v>58</v>
      </c>
      <c r="T7" s="7" t="s">
        <v>67</v>
      </c>
      <c r="U7" s="7" t="s">
        <v>67</v>
      </c>
      <c r="V7" s="7" t="s">
        <v>58</v>
      </c>
      <c r="W7" s="7" t="s">
        <v>67</v>
      </c>
      <c r="X7" s="7" t="s">
        <v>66</v>
      </c>
      <c r="Y7" s="7" t="s">
        <v>67</v>
      </c>
      <c r="Z7" s="7" t="s">
        <v>58</v>
      </c>
      <c r="AA7" s="7" t="s">
        <v>67</v>
      </c>
      <c r="AB7" s="7" t="s">
        <v>67</v>
      </c>
      <c r="AC7" s="7" t="s">
        <v>58</v>
      </c>
      <c r="AD7" s="7" t="s">
        <v>66</v>
      </c>
      <c r="AE7" s="7" t="s">
        <v>67</v>
      </c>
      <c r="AF7" s="7" t="s">
        <v>58</v>
      </c>
      <c r="AG7" s="7" t="s">
        <v>67</v>
      </c>
      <c r="AH7" s="7" t="s">
        <v>58</v>
      </c>
      <c r="AI7" s="7" t="s">
        <v>72</v>
      </c>
      <c r="AJ7" s="7" t="s">
        <v>73</v>
      </c>
      <c r="AK7" s="7" t="s">
        <v>73</v>
      </c>
      <c r="AL7" s="7">
        <v>3.0</v>
      </c>
      <c r="AM7" s="7">
        <v>5.0</v>
      </c>
      <c r="AN7" s="7">
        <v>2.0</v>
      </c>
      <c r="AO7" s="7">
        <v>1.0</v>
      </c>
      <c r="AP7" s="7">
        <v>5.0</v>
      </c>
      <c r="AQ7" s="7">
        <v>5.0</v>
      </c>
      <c r="AR7" s="7">
        <v>1.0</v>
      </c>
      <c r="AS7" s="7">
        <v>3.0</v>
      </c>
      <c r="AT7" s="7">
        <v>1.0</v>
      </c>
      <c r="AU7" s="7">
        <v>2.0</v>
      </c>
      <c r="AV7" s="7">
        <v>3.0</v>
      </c>
      <c r="AW7" s="7">
        <v>4.0</v>
      </c>
      <c r="AX7" s="7">
        <v>1.0</v>
      </c>
      <c r="AY7" s="7">
        <v>1.0</v>
      </c>
      <c r="AZ7" s="7">
        <v>1.0</v>
      </c>
      <c r="BA7" s="7">
        <v>1.0</v>
      </c>
      <c r="BB7" s="7" t="s">
        <v>70</v>
      </c>
      <c r="BC7" s="7">
        <v>4.0</v>
      </c>
      <c r="BD7" s="7">
        <v>4.0</v>
      </c>
      <c r="BE7" s="7" t="s">
        <v>165</v>
      </c>
    </row>
    <row r="8" ht="22.5" customHeight="1">
      <c r="A8" s="6">
        <v>46022.78865394676</v>
      </c>
      <c r="B8" s="7" t="s">
        <v>57</v>
      </c>
      <c r="C8" s="7" t="s">
        <v>58</v>
      </c>
      <c r="D8" s="7" t="s">
        <v>58</v>
      </c>
      <c r="E8" s="7" t="s">
        <v>59</v>
      </c>
      <c r="F8" s="7" t="s">
        <v>60</v>
      </c>
      <c r="G8" s="7" t="s">
        <v>61</v>
      </c>
      <c r="H8" s="7" t="s">
        <v>60</v>
      </c>
      <c r="I8" s="7" t="s">
        <v>60</v>
      </c>
      <c r="J8" s="7" t="s">
        <v>62</v>
      </c>
      <c r="K8" s="7" t="s">
        <v>63</v>
      </c>
      <c r="L8" s="7" t="s">
        <v>64</v>
      </c>
      <c r="M8" s="7" t="s">
        <v>65</v>
      </c>
      <c r="N8" s="7" t="s">
        <v>58</v>
      </c>
      <c r="O8" s="7" t="s">
        <v>67</v>
      </c>
      <c r="P8" s="7" t="s">
        <v>67</v>
      </c>
      <c r="Q8" s="7" t="s">
        <v>66</v>
      </c>
      <c r="R8" s="7" t="s">
        <v>58</v>
      </c>
      <c r="S8" s="7" t="s">
        <v>58</v>
      </c>
      <c r="T8" s="7" t="s">
        <v>58</v>
      </c>
      <c r="U8" s="7" t="s">
        <v>58</v>
      </c>
      <c r="V8" s="7" t="s">
        <v>67</v>
      </c>
      <c r="W8" s="7" t="s">
        <v>67</v>
      </c>
      <c r="X8" s="7" t="s">
        <v>66</v>
      </c>
      <c r="Y8" s="7" t="s">
        <v>58</v>
      </c>
      <c r="Z8" s="7" t="s">
        <v>58</v>
      </c>
      <c r="AA8" s="7" t="s">
        <v>58</v>
      </c>
      <c r="AB8" s="7" t="s">
        <v>58</v>
      </c>
      <c r="AC8" s="7" t="s">
        <v>67</v>
      </c>
      <c r="AD8" s="7" t="s">
        <v>66</v>
      </c>
      <c r="AE8" s="7" t="s">
        <v>67</v>
      </c>
      <c r="AF8" s="7" t="s">
        <v>58</v>
      </c>
      <c r="AG8" s="7" t="s">
        <v>58</v>
      </c>
      <c r="AH8" s="7" t="s">
        <v>58</v>
      </c>
      <c r="AI8" s="7" t="s">
        <v>68</v>
      </c>
      <c r="AJ8" s="7" t="s">
        <v>69</v>
      </c>
      <c r="AK8" s="7" t="s">
        <v>69</v>
      </c>
      <c r="AL8" s="7">
        <v>4.0</v>
      </c>
      <c r="AM8" s="7">
        <v>4.0</v>
      </c>
      <c r="AN8" s="7">
        <v>1.0</v>
      </c>
      <c r="AO8" s="7">
        <v>1.0</v>
      </c>
      <c r="AP8" s="7">
        <v>5.0</v>
      </c>
      <c r="AQ8" s="7">
        <v>5.0</v>
      </c>
      <c r="AR8" s="7">
        <v>1.0</v>
      </c>
      <c r="AS8" s="7">
        <v>5.0</v>
      </c>
      <c r="AT8" s="7">
        <v>1.0</v>
      </c>
      <c r="AU8" s="7">
        <v>5.0</v>
      </c>
      <c r="AV8" s="7">
        <v>3.0</v>
      </c>
      <c r="AW8" s="7">
        <v>5.0</v>
      </c>
      <c r="AX8" s="7">
        <v>2.0</v>
      </c>
      <c r="AY8" s="7">
        <v>5.0</v>
      </c>
      <c r="AZ8" s="7">
        <v>2.0</v>
      </c>
      <c r="BA8" s="7">
        <v>5.0</v>
      </c>
      <c r="BB8" s="7" t="s">
        <v>74</v>
      </c>
      <c r="BC8" s="7">
        <v>3.0</v>
      </c>
      <c r="BD8" s="7">
        <v>6.0</v>
      </c>
      <c r="BE8" s="7" t="s">
        <v>166</v>
      </c>
    </row>
    <row r="9" ht="22.5" customHeight="1">
      <c r="A9" s="6">
        <v>46023.775889930555</v>
      </c>
      <c r="B9" s="7" t="s">
        <v>57</v>
      </c>
      <c r="C9" s="7" t="s">
        <v>58</v>
      </c>
      <c r="D9" s="7" t="s">
        <v>58</v>
      </c>
      <c r="E9" s="7" t="s">
        <v>59</v>
      </c>
      <c r="F9" s="7" t="s">
        <v>60</v>
      </c>
      <c r="G9" s="7" t="s">
        <v>61</v>
      </c>
      <c r="H9" s="7" t="s">
        <v>60</v>
      </c>
      <c r="I9" s="7" t="s">
        <v>60</v>
      </c>
      <c r="J9" s="7" t="s">
        <v>62</v>
      </c>
      <c r="K9" s="7" t="s">
        <v>63</v>
      </c>
      <c r="L9" s="7" t="s">
        <v>64</v>
      </c>
      <c r="M9" s="7" t="s">
        <v>65</v>
      </c>
      <c r="N9" s="7" t="s">
        <v>58</v>
      </c>
      <c r="O9" s="7" t="s">
        <v>67</v>
      </c>
      <c r="P9" s="7" t="s">
        <v>67</v>
      </c>
      <c r="Q9" s="7" t="s">
        <v>66</v>
      </c>
      <c r="R9" s="7" t="s">
        <v>58</v>
      </c>
      <c r="S9" s="7" t="s">
        <v>58</v>
      </c>
      <c r="T9" s="7" t="s">
        <v>67</v>
      </c>
      <c r="U9" s="7" t="s">
        <v>58</v>
      </c>
      <c r="V9" s="7" t="s">
        <v>67</v>
      </c>
      <c r="W9" s="7" t="s">
        <v>67</v>
      </c>
      <c r="X9" s="7" t="s">
        <v>66</v>
      </c>
      <c r="Y9" s="7" t="s">
        <v>58</v>
      </c>
      <c r="Z9" s="7" t="s">
        <v>58</v>
      </c>
      <c r="AA9" s="7" t="s">
        <v>67</v>
      </c>
      <c r="AB9" s="7" t="s">
        <v>58</v>
      </c>
      <c r="AC9" s="7" t="s">
        <v>67</v>
      </c>
      <c r="AD9" s="7" t="s">
        <v>66</v>
      </c>
      <c r="AE9" s="7" t="s">
        <v>67</v>
      </c>
      <c r="AF9" s="7" t="s">
        <v>67</v>
      </c>
      <c r="AG9" s="7" t="s">
        <v>58</v>
      </c>
      <c r="AH9" s="7" t="s">
        <v>58</v>
      </c>
      <c r="AI9" s="7" t="s">
        <v>72</v>
      </c>
      <c r="AJ9" s="7" t="s">
        <v>69</v>
      </c>
      <c r="AK9" s="7" t="s">
        <v>73</v>
      </c>
      <c r="AL9" s="7">
        <v>4.0</v>
      </c>
      <c r="AM9" s="7">
        <v>4.0</v>
      </c>
      <c r="AN9" s="7">
        <v>3.0</v>
      </c>
      <c r="AO9" s="7">
        <v>3.0</v>
      </c>
      <c r="AP9" s="7">
        <v>4.0</v>
      </c>
      <c r="AQ9" s="7">
        <v>2.0</v>
      </c>
      <c r="AR9" s="7">
        <v>4.0</v>
      </c>
      <c r="AS9" s="7">
        <v>4.0</v>
      </c>
      <c r="AT9" s="7">
        <v>1.0</v>
      </c>
      <c r="AU9" s="7">
        <v>5.0</v>
      </c>
      <c r="AV9" s="7">
        <v>5.0</v>
      </c>
      <c r="AW9" s="7">
        <v>4.0</v>
      </c>
      <c r="AX9" s="7">
        <v>3.0</v>
      </c>
      <c r="AY9" s="7">
        <v>4.0</v>
      </c>
      <c r="AZ9" s="7">
        <v>1.0</v>
      </c>
      <c r="BA9" s="7">
        <v>4.0</v>
      </c>
      <c r="BB9" s="7" t="s">
        <v>74</v>
      </c>
      <c r="BC9" s="7">
        <v>5.0</v>
      </c>
      <c r="BD9" s="7">
        <v>7.0</v>
      </c>
      <c r="BE9" s="7" t="s">
        <v>167</v>
      </c>
    </row>
    <row r="10" ht="22.5" customHeight="1">
      <c r="A10" s="6">
        <v>46024.48947601852</v>
      </c>
      <c r="B10" s="7" t="s">
        <v>57</v>
      </c>
      <c r="C10" s="7" t="s">
        <v>58</v>
      </c>
      <c r="D10" s="7" t="s">
        <v>58</v>
      </c>
      <c r="E10" s="7" t="s">
        <v>59</v>
      </c>
      <c r="F10" s="7" t="s">
        <v>60</v>
      </c>
      <c r="G10" s="7" t="s">
        <v>61</v>
      </c>
      <c r="H10" s="7" t="s">
        <v>60</v>
      </c>
      <c r="I10" s="7" t="s">
        <v>60</v>
      </c>
      <c r="J10" s="7" t="s">
        <v>62</v>
      </c>
      <c r="K10" s="7" t="s">
        <v>63</v>
      </c>
      <c r="L10" s="7" t="s">
        <v>64</v>
      </c>
      <c r="M10" s="7" t="s">
        <v>65</v>
      </c>
      <c r="N10" s="7" t="s">
        <v>58</v>
      </c>
      <c r="O10" s="7" t="s">
        <v>58</v>
      </c>
      <c r="P10" s="7" t="s">
        <v>67</v>
      </c>
      <c r="Q10" s="7" t="s">
        <v>66</v>
      </c>
      <c r="R10" s="7" t="s">
        <v>67</v>
      </c>
      <c r="S10" s="7" t="s">
        <v>67</v>
      </c>
      <c r="T10" s="7" t="s">
        <v>58</v>
      </c>
      <c r="U10" s="7" t="s">
        <v>67</v>
      </c>
      <c r="V10" s="7" t="s">
        <v>67</v>
      </c>
      <c r="W10" s="7" t="s">
        <v>58</v>
      </c>
      <c r="X10" s="7" t="s">
        <v>66</v>
      </c>
      <c r="Y10" s="7" t="s">
        <v>58</v>
      </c>
      <c r="Z10" s="7" t="s">
        <v>67</v>
      </c>
      <c r="AA10" s="7" t="s">
        <v>67</v>
      </c>
      <c r="AB10" s="7" t="s">
        <v>58</v>
      </c>
      <c r="AC10" s="7" t="s">
        <v>67</v>
      </c>
      <c r="AD10" s="7" t="s">
        <v>66</v>
      </c>
      <c r="AE10" s="7" t="s">
        <v>58</v>
      </c>
      <c r="AF10" s="7" t="s">
        <v>58</v>
      </c>
      <c r="AG10" s="7" t="s">
        <v>58</v>
      </c>
      <c r="AH10" s="7" t="s">
        <v>67</v>
      </c>
      <c r="AI10" s="7" t="s">
        <v>72</v>
      </c>
      <c r="AJ10" s="7" t="s">
        <v>69</v>
      </c>
      <c r="AK10" s="7" t="s">
        <v>68</v>
      </c>
      <c r="AL10" s="7">
        <v>5.0</v>
      </c>
      <c r="AM10" s="7">
        <v>4.0</v>
      </c>
      <c r="AN10" s="7">
        <v>3.0</v>
      </c>
      <c r="AO10" s="7">
        <v>1.0</v>
      </c>
      <c r="AP10" s="7">
        <v>5.0</v>
      </c>
      <c r="AQ10" s="7">
        <v>5.0</v>
      </c>
      <c r="AR10" s="7">
        <v>4.0</v>
      </c>
      <c r="AS10" s="7">
        <v>5.0</v>
      </c>
      <c r="AT10" s="7">
        <v>1.0</v>
      </c>
      <c r="AU10" s="7">
        <v>5.0</v>
      </c>
      <c r="AV10" s="7">
        <v>4.0</v>
      </c>
      <c r="AW10" s="7">
        <v>3.0</v>
      </c>
      <c r="AX10" s="7">
        <v>1.0</v>
      </c>
      <c r="AY10" s="7">
        <v>1.0</v>
      </c>
      <c r="AZ10" s="7">
        <v>1.0</v>
      </c>
      <c r="BA10" s="7">
        <v>5.0</v>
      </c>
      <c r="BB10" s="7" t="s">
        <v>70</v>
      </c>
      <c r="BC10" s="7">
        <v>4.0</v>
      </c>
      <c r="BD10" s="7">
        <v>4.0</v>
      </c>
      <c r="BE10" s="7" t="s">
        <v>168</v>
      </c>
    </row>
    <row r="11" ht="22.5" customHeight="1">
      <c r="A11" s="6">
        <v>46024.569489375004</v>
      </c>
      <c r="B11" s="7" t="s">
        <v>57</v>
      </c>
      <c r="C11" s="7" t="s">
        <v>58</v>
      </c>
      <c r="D11" s="7" t="s">
        <v>58</v>
      </c>
      <c r="E11" s="7" t="s">
        <v>59</v>
      </c>
      <c r="F11" s="7" t="s">
        <v>60</v>
      </c>
      <c r="G11" s="7" t="s">
        <v>61</v>
      </c>
      <c r="H11" s="7" t="s">
        <v>60</v>
      </c>
      <c r="I11" s="7" t="s">
        <v>60</v>
      </c>
      <c r="J11" s="7" t="s">
        <v>62</v>
      </c>
      <c r="K11" s="7" t="s">
        <v>63</v>
      </c>
      <c r="L11" s="7" t="s">
        <v>64</v>
      </c>
      <c r="M11" s="7" t="s">
        <v>65</v>
      </c>
      <c r="N11" s="7" t="s">
        <v>58</v>
      </c>
      <c r="O11" s="7" t="s">
        <v>67</v>
      </c>
      <c r="P11" s="7" t="s">
        <v>67</v>
      </c>
      <c r="Q11" s="7" t="s">
        <v>66</v>
      </c>
      <c r="R11" s="7" t="s">
        <v>67</v>
      </c>
      <c r="S11" s="7" t="s">
        <v>58</v>
      </c>
      <c r="T11" s="7" t="s">
        <v>67</v>
      </c>
      <c r="U11" s="7" t="s">
        <v>67</v>
      </c>
      <c r="V11" s="7" t="s">
        <v>58</v>
      </c>
      <c r="W11" s="7" t="s">
        <v>67</v>
      </c>
      <c r="X11" s="7" t="s">
        <v>67</v>
      </c>
      <c r="Y11" s="7" t="s">
        <v>67</v>
      </c>
      <c r="Z11" s="7" t="s">
        <v>58</v>
      </c>
      <c r="AA11" s="7" t="s">
        <v>67</v>
      </c>
      <c r="AB11" s="7" t="s">
        <v>67</v>
      </c>
      <c r="AC11" s="7" t="s">
        <v>58</v>
      </c>
      <c r="AD11" s="7" t="s">
        <v>67</v>
      </c>
      <c r="AE11" s="7" t="s">
        <v>58</v>
      </c>
      <c r="AF11" s="7" t="s">
        <v>67</v>
      </c>
      <c r="AG11" s="7" t="s">
        <v>58</v>
      </c>
      <c r="AH11" s="7" t="s">
        <v>58</v>
      </c>
      <c r="AI11" s="7" t="s">
        <v>77</v>
      </c>
      <c r="AJ11" s="7" t="s">
        <v>73</v>
      </c>
      <c r="AK11" s="7" t="s">
        <v>69</v>
      </c>
      <c r="AL11" s="7">
        <v>3.0</v>
      </c>
      <c r="AM11" s="7">
        <v>3.0</v>
      </c>
      <c r="AN11" s="7">
        <v>2.0</v>
      </c>
      <c r="AO11" s="7">
        <v>2.0</v>
      </c>
      <c r="AP11" s="7">
        <v>4.0</v>
      </c>
      <c r="AQ11" s="7">
        <v>3.0</v>
      </c>
      <c r="AR11" s="7">
        <v>3.0</v>
      </c>
      <c r="AS11" s="7">
        <v>4.0</v>
      </c>
      <c r="AT11" s="7">
        <v>2.0</v>
      </c>
      <c r="AU11" s="7">
        <v>3.0</v>
      </c>
      <c r="AV11" s="7">
        <v>4.0</v>
      </c>
      <c r="AW11" s="7">
        <v>3.0</v>
      </c>
      <c r="AX11" s="7">
        <v>3.0</v>
      </c>
      <c r="AY11" s="7">
        <v>3.0</v>
      </c>
      <c r="AZ11" s="7">
        <v>3.0</v>
      </c>
      <c r="BA11" s="7">
        <v>3.0</v>
      </c>
      <c r="BB11" s="7" t="s">
        <v>70</v>
      </c>
      <c r="BC11" s="7">
        <v>6.0</v>
      </c>
      <c r="BD11" s="7">
        <v>6.0</v>
      </c>
      <c r="BE11" s="7" t="s">
        <v>169</v>
      </c>
    </row>
    <row r="12" ht="22.5" customHeight="1">
      <c r="A12" s="6">
        <v>46024.65450912037</v>
      </c>
      <c r="B12" s="7" t="s">
        <v>57</v>
      </c>
      <c r="C12" s="7" t="s">
        <v>58</v>
      </c>
      <c r="D12" s="7" t="s">
        <v>58</v>
      </c>
      <c r="E12" s="7" t="s">
        <v>59</v>
      </c>
      <c r="F12" s="7" t="s">
        <v>60</v>
      </c>
      <c r="G12" s="7" t="s">
        <v>61</v>
      </c>
      <c r="H12" s="7" t="s">
        <v>60</v>
      </c>
      <c r="I12" s="7" t="s">
        <v>60</v>
      </c>
      <c r="J12" s="7" t="s">
        <v>62</v>
      </c>
      <c r="K12" s="7" t="s">
        <v>63</v>
      </c>
      <c r="L12" s="7" t="s">
        <v>64</v>
      </c>
      <c r="M12" s="7" t="s">
        <v>65</v>
      </c>
      <c r="N12" s="7" t="s">
        <v>58</v>
      </c>
      <c r="O12" s="7" t="s">
        <v>58</v>
      </c>
      <c r="P12" s="7" t="s">
        <v>58</v>
      </c>
      <c r="Q12" s="7" t="s">
        <v>58</v>
      </c>
      <c r="R12" s="7" t="s">
        <v>58</v>
      </c>
      <c r="S12" s="7" t="s">
        <v>58</v>
      </c>
      <c r="T12" s="7" t="s">
        <v>58</v>
      </c>
      <c r="U12" s="7" t="s">
        <v>58</v>
      </c>
      <c r="V12" s="7" t="s">
        <v>58</v>
      </c>
      <c r="W12" s="7" t="s">
        <v>58</v>
      </c>
      <c r="X12" s="7" t="s">
        <v>58</v>
      </c>
      <c r="Y12" s="7" t="s">
        <v>58</v>
      </c>
      <c r="Z12" s="7" t="s">
        <v>58</v>
      </c>
      <c r="AA12" s="7" t="s">
        <v>58</v>
      </c>
      <c r="AB12" s="7" t="s">
        <v>58</v>
      </c>
      <c r="AC12" s="7" t="s">
        <v>58</v>
      </c>
      <c r="AD12" s="7" t="s">
        <v>58</v>
      </c>
      <c r="AE12" s="7" t="s">
        <v>58</v>
      </c>
      <c r="AF12" s="7" t="s">
        <v>58</v>
      </c>
      <c r="AG12" s="7" t="s">
        <v>58</v>
      </c>
      <c r="AH12" s="7" t="s">
        <v>58</v>
      </c>
      <c r="AI12" s="7" t="s">
        <v>72</v>
      </c>
      <c r="AJ12" s="7" t="s">
        <v>73</v>
      </c>
      <c r="AK12" s="7" t="s">
        <v>73</v>
      </c>
      <c r="AL12" s="7">
        <v>1.0</v>
      </c>
      <c r="AM12" s="7">
        <v>4.0</v>
      </c>
      <c r="AN12" s="7">
        <v>4.0</v>
      </c>
      <c r="AO12" s="7">
        <v>4.0</v>
      </c>
      <c r="AP12" s="7">
        <v>2.0</v>
      </c>
      <c r="AQ12" s="7">
        <v>5.0</v>
      </c>
      <c r="AR12" s="7">
        <v>1.0</v>
      </c>
      <c r="AS12" s="7">
        <v>5.0</v>
      </c>
      <c r="AT12" s="7">
        <v>1.0</v>
      </c>
      <c r="AU12" s="7">
        <v>4.0</v>
      </c>
      <c r="AV12" s="7">
        <v>3.0</v>
      </c>
      <c r="AW12" s="7">
        <v>4.0</v>
      </c>
      <c r="AX12" s="7">
        <v>2.0</v>
      </c>
      <c r="AY12" s="7">
        <v>4.0</v>
      </c>
      <c r="AZ12" s="7">
        <v>2.0</v>
      </c>
      <c r="BA12" s="7">
        <v>2.0</v>
      </c>
      <c r="BB12" s="7" t="s">
        <v>70</v>
      </c>
      <c r="BC12" s="7">
        <v>5.0</v>
      </c>
      <c r="BD12" s="7">
        <v>5.0</v>
      </c>
      <c r="BE12" s="7" t="s">
        <v>170</v>
      </c>
    </row>
    <row r="13" ht="22.5" customHeight="1">
      <c r="A13" s="6">
        <v>46024.679437569444</v>
      </c>
      <c r="B13" s="7" t="s">
        <v>57</v>
      </c>
      <c r="C13" s="7" t="s">
        <v>58</v>
      </c>
      <c r="D13" s="7" t="s">
        <v>58</v>
      </c>
      <c r="E13" s="7" t="s">
        <v>59</v>
      </c>
      <c r="F13" s="7" t="s">
        <v>60</v>
      </c>
      <c r="G13" s="7" t="s">
        <v>61</v>
      </c>
      <c r="H13" s="7" t="s">
        <v>60</v>
      </c>
      <c r="I13" s="7" t="s">
        <v>60</v>
      </c>
      <c r="J13" s="7" t="s">
        <v>62</v>
      </c>
      <c r="K13" s="7" t="s">
        <v>63</v>
      </c>
      <c r="L13" s="7" t="s">
        <v>64</v>
      </c>
      <c r="M13" s="7" t="s">
        <v>65</v>
      </c>
      <c r="N13" s="7" t="s">
        <v>58</v>
      </c>
      <c r="O13" s="7" t="s">
        <v>67</v>
      </c>
      <c r="P13" s="7" t="s">
        <v>67</v>
      </c>
      <c r="Q13" s="7" t="s">
        <v>66</v>
      </c>
      <c r="R13" s="7" t="s">
        <v>58</v>
      </c>
      <c r="S13" s="7" t="s">
        <v>58</v>
      </c>
      <c r="T13" s="7" t="s">
        <v>58</v>
      </c>
      <c r="U13" s="7" t="s">
        <v>58</v>
      </c>
      <c r="V13" s="7" t="s">
        <v>67</v>
      </c>
      <c r="W13" s="7" t="s">
        <v>67</v>
      </c>
      <c r="X13" s="7" t="s">
        <v>66</v>
      </c>
      <c r="Y13" s="7" t="s">
        <v>58</v>
      </c>
      <c r="Z13" s="7" t="s">
        <v>58</v>
      </c>
      <c r="AA13" s="7" t="s">
        <v>58</v>
      </c>
      <c r="AB13" s="7" t="s">
        <v>58</v>
      </c>
      <c r="AC13" s="7" t="s">
        <v>67</v>
      </c>
      <c r="AD13" s="7" t="s">
        <v>66</v>
      </c>
      <c r="AE13" s="7" t="s">
        <v>67</v>
      </c>
      <c r="AF13" s="7" t="s">
        <v>58</v>
      </c>
      <c r="AG13" s="7" t="s">
        <v>58</v>
      </c>
      <c r="AH13" s="7" t="s">
        <v>58</v>
      </c>
      <c r="AI13" s="7" t="s">
        <v>68</v>
      </c>
      <c r="AJ13" s="7" t="s">
        <v>69</v>
      </c>
      <c r="AK13" s="7" t="s">
        <v>69</v>
      </c>
      <c r="AL13" s="7">
        <v>5.0</v>
      </c>
      <c r="AM13" s="7">
        <v>4.0</v>
      </c>
      <c r="AN13" s="7">
        <v>1.0</v>
      </c>
      <c r="AO13" s="7">
        <v>1.0</v>
      </c>
      <c r="AP13" s="7">
        <v>5.0</v>
      </c>
      <c r="AQ13" s="7">
        <v>3.0</v>
      </c>
      <c r="AR13" s="7">
        <v>3.0</v>
      </c>
      <c r="AS13" s="7">
        <v>4.0</v>
      </c>
      <c r="AT13" s="7">
        <v>1.0</v>
      </c>
      <c r="AU13" s="7">
        <v>4.0</v>
      </c>
      <c r="AV13" s="7">
        <v>4.0</v>
      </c>
      <c r="AW13" s="7">
        <v>5.0</v>
      </c>
      <c r="AX13" s="7">
        <v>1.0</v>
      </c>
      <c r="AY13" s="7">
        <v>5.0</v>
      </c>
      <c r="AZ13" s="7">
        <v>1.0</v>
      </c>
      <c r="BA13" s="7">
        <v>5.0</v>
      </c>
      <c r="BB13" s="7" t="s">
        <v>74</v>
      </c>
      <c r="BC13" s="7">
        <v>2.0</v>
      </c>
      <c r="BD13" s="7">
        <v>4.0</v>
      </c>
      <c r="BE13" s="7" t="s">
        <v>171</v>
      </c>
    </row>
    <row r="14" ht="22.5" customHeight="1">
      <c r="A14" s="6">
        <v>46025.38236130787</v>
      </c>
      <c r="B14" s="7" t="s">
        <v>57</v>
      </c>
      <c r="C14" s="7" t="s">
        <v>58</v>
      </c>
      <c r="D14" s="7" t="s">
        <v>58</v>
      </c>
      <c r="E14" s="7" t="s">
        <v>59</v>
      </c>
      <c r="F14" s="7" t="s">
        <v>60</v>
      </c>
      <c r="G14" s="7" t="s">
        <v>61</v>
      </c>
      <c r="H14" s="7" t="s">
        <v>60</v>
      </c>
      <c r="I14" s="7" t="s">
        <v>60</v>
      </c>
      <c r="J14" s="7" t="s">
        <v>62</v>
      </c>
      <c r="K14" s="7" t="s">
        <v>63</v>
      </c>
      <c r="L14" s="7" t="s">
        <v>64</v>
      </c>
      <c r="M14" s="7" t="s">
        <v>65</v>
      </c>
      <c r="N14" s="7" t="s">
        <v>58</v>
      </c>
      <c r="O14" s="7" t="s">
        <v>67</v>
      </c>
      <c r="P14" s="7" t="s">
        <v>67</v>
      </c>
      <c r="Q14" s="7" t="s">
        <v>66</v>
      </c>
      <c r="R14" s="7" t="s">
        <v>58</v>
      </c>
      <c r="S14" s="7" t="s">
        <v>58</v>
      </c>
      <c r="T14" s="7" t="s">
        <v>58</v>
      </c>
      <c r="U14" s="7" t="s">
        <v>58</v>
      </c>
      <c r="V14" s="7" t="s">
        <v>67</v>
      </c>
      <c r="W14" s="7" t="s">
        <v>67</v>
      </c>
      <c r="X14" s="7" t="s">
        <v>66</v>
      </c>
      <c r="Y14" s="7" t="s">
        <v>67</v>
      </c>
      <c r="Z14" s="7" t="s">
        <v>58</v>
      </c>
      <c r="AA14" s="7" t="s">
        <v>58</v>
      </c>
      <c r="AB14" s="7" t="s">
        <v>58</v>
      </c>
      <c r="AC14" s="7" t="s">
        <v>67</v>
      </c>
      <c r="AD14" s="7" t="s">
        <v>66</v>
      </c>
      <c r="AE14" s="7" t="s">
        <v>67</v>
      </c>
      <c r="AF14" s="7" t="s">
        <v>58</v>
      </c>
      <c r="AG14" s="7" t="s">
        <v>58</v>
      </c>
      <c r="AH14" s="7" t="s">
        <v>58</v>
      </c>
      <c r="AI14" s="7" t="s">
        <v>68</v>
      </c>
      <c r="AJ14" s="7" t="s">
        <v>68</v>
      </c>
      <c r="AK14" s="7" t="s">
        <v>68</v>
      </c>
      <c r="AL14" s="7">
        <v>3.0</v>
      </c>
      <c r="AM14" s="7">
        <v>3.0</v>
      </c>
      <c r="AN14" s="7">
        <v>4.0</v>
      </c>
      <c r="AO14" s="7">
        <v>3.0</v>
      </c>
      <c r="AP14" s="7">
        <v>4.0</v>
      </c>
      <c r="AQ14" s="7">
        <v>3.0</v>
      </c>
      <c r="AR14" s="7">
        <v>1.0</v>
      </c>
      <c r="AS14" s="7">
        <v>5.0</v>
      </c>
      <c r="AT14" s="7">
        <v>1.0</v>
      </c>
      <c r="AU14" s="7">
        <v>5.0</v>
      </c>
      <c r="AV14" s="7">
        <v>3.0</v>
      </c>
      <c r="AW14" s="7">
        <v>5.0</v>
      </c>
      <c r="AX14" s="7">
        <v>1.0</v>
      </c>
      <c r="AY14" s="7">
        <v>5.0</v>
      </c>
      <c r="AZ14" s="7">
        <v>1.0</v>
      </c>
      <c r="BA14" s="7">
        <v>5.0</v>
      </c>
      <c r="BB14" s="7" t="s">
        <v>70</v>
      </c>
      <c r="BC14" s="7">
        <v>2.0</v>
      </c>
      <c r="BD14" s="7">
        <v>5.0</v>
      </c>
      <c r="BE14" s="7" t="s">
        <v>172</v>
      </c>
    </row>
    <row r="15" ht="22.5" customHeight="1">
      <c r="A15" s="6">
        <v>46027.48917635417</v>
      </c>
      <c r="B15" s="7" t="s">
        <v>57</v>
      </c>
      <c r="C15" s="7" t="s">
        <v>58</v>
      </c>
      <c r="D15" s="7" t="s">
        <v>58</v>
      </c>
      <c r="E15" s="7" t="s">
        <v>59</v>
      </c>
      <c r="F15" s="7" t="s">
        <v>60</v>
      </c>
      <c r="G15" s="7" t="s">
        <v>61</v>
      </c>
      <c r="H15" s="7" t="s">
        <v>60</v>
      </c>
      <c r="I15" s="7" t="s">
        <v>60</v>
      </c>
      <c r="J15" s="7" t="s">
        <v>62</v>
      </c>
      <c r="K15" s="7" t="s">
        <v>63</v>
      </c>
      <c r="L15" s="7" t="s">
        <v>64</v>
      </c>
      <c r="M15" s="7" t="s">
        <v>65</v>
      </c>
      <c r="N15" s="7" t="s">
        <v>58</v>
      </c>
      <c r="O15" s="7" t="s">
        <v>67</v>
      </c>
      <c r="P15" s="7" t="s">
        <v>58</v>
      </c>
      <c r="Q15" s="7" t="s">
        <v>66</v>
      </c>
      <c r="R15" s="7" t="s">
        <v>58</v>
      </c>
      <c r="S15" s="7" t="s">
        <v>58</v>
      </c>
      <c r="T15" s="7" t="s">
        <v>58</v>
      </c>
      <c r="U15" s="7" t="s">
        <v>58</v>
      </c>
      <c r="V15" s="7" t="s">
        <v>58</v>
      </c>
      <c r="W15" s="7" t="s">
        <v>58</v>
      </c>
      <c r="X15" s="7" t="s">
        <v>66</v>
      </c>
      <c r="Y15" s="7" t="s">
        <v>58</v>
      </c>
      <c r="Z15" s="7" t="s">
        <v>67</v>
      </c>
      <c r="AA15" s="7" t="s">
        <v>58</v>
      </c>
      <c r="AB15" s="7" t="s">
        <v>58</v>
      </c>
      <c r="AC15" s="7" t="s">
        <v>67</v>
      </c>
      <c r="AD15" s="7" t="s">
        <v>66</v>
      </c>
      <c r="AE15" s="7" t="s">
        <v>67</v>
      </c>
      <c r="AF15" s="7" t="s">
        <v>58</v>
      </c>
      <c r="AG15" s="7" t="s">
        <v>58</v>
      </c>
      <c r="AH15" s="7" t="s">
        <v>58</v>
      </c>
      <c r="AI15" s="7" t="s">
        <v>68</v>
      </c>
      <c r="AJ15" s="7" t="s">
        <v>68</v>
      </c>
      <c r="AK15" s="7" t="s">
        <v>69</v>
      </c>
      <c r="AL15" s="7">
        <v>3.0</v>
      </c>
      <c r="AM15" s="7">
        <v>2.0</v>
      </c>
      <c r="AN15" s="7">
        <v>4.0</v>
      </c>
      <c r="AO15" s="7">
        <v>3.0</v>
      </c>
      <c r="AP15" s="7">
        <v>4.0</v>
      </c>
      <c r="AQ15" s="7">
        <v>4.0</v>
      </c>
      <c r="AR15" s="7">
        <v>1.0</v>
      </c>
      <c r="AS15" s="7">
        <v>3.0</v>
      </c>
      <c r="AT15" s="7">
        <v>1.0</v>
      </c>
      <c r="AU15" s="7">
        <v>4.0</v>
      </c>
      <c r="AV15" s="7">
        <v>5.0</v>
      </c>
      <c r="AW15" s="7">
        <v>5.0</v>
      </c>
      <c r="AX15" s="7">
        <v>1.0</v>
      </c>
      <c r="AY15" s="7">
        <v>5.0</v>
      </c>
      <c r="AZ15" s="7">
        <v>1.0</v>
      </c>
      <c r="BA15" s="7">
        <v>5.0</v>
      </c>
      <c r="BB15" s="7" t="s">
        <v>70</v>
      </c>
      <c r="BC15" s="7">
        <v>4.0</v>
      </c>
      <c r="BD15" s="7">
        <v>6.0</v>
      </c>
      <c r="BE15" s="7" t="s">
        <v>173</v>
      </c>
    </row>
    <row r="16" ht="22.5" customHeight="1">
      <c r="A16" s="6">
        <v>46029.66759939815</v>
      </c>
      <c r="B16" s="7" t="s">
        <v>57</v>
      </c>
      <c r="C16" s="7" t="s">
        <v>58</v>
      </c>
      <c r="D16" s="7" t="s">
        <v>58</v>
      </c>
      <c r="E16" s="7" t="s">
        <v>59</v>
      </c>
      <c r="F16" s="7" t="s">
        <v>60</v>
      </c>
      <c r="G16" s="7" t="s">
        <v>61</v>
      </c>
      <c r="H16" s="7" t="s">
        <v>60</v>
      </c>
      <c r="I16" s="7" t="s">
        <v>60</v>
      </c>
      <c r="J16" s="7" t="s">
        <v>62</v>
      </c>
      <c r="K16" s="7" t="s">
        <v>63</v>
      </c>
      <c r="L16" s="7" t="s">
        <v>64</v>
      </c>
      <c r="M16" s="7" t="s">
        <v>65</v>
      </c>
      <c r="N16" s="7" t="s">
        <v>58</v>
      </c>
      <c r="O16" s="7" t="s">
        <v>67</v>
      </c>
      <c r="P16" s="7" t="s">
        <v>67</v>
      </c>
      <c r="Q16" s="7" t="s">
        <v>66</v>
      </c>
      <c r="R16" s="7" t="s">
        <v>58</v>
      </c>
      <c r="S16" s="7" t="s">
        <v>58</v>
      </c>
      <c r="T16" s="7" t="s">
        <v>58</v>
      </c>
      <c r="U16" s="7" t="s">
        <v>58</v>
      </c>
      <c r="V16" s="7" t="s">
        <v>67</v>
      </c>
      <c r="W16" s="7" t="s">
        <v>67</v>
      </c>
      <c r="X16" s="7" t="s">
        <v>66</v>
      </c>
      <c r="Y16" s="7" t="s">
        <v>58</v>
      </c>
      <c r="Z16" s="7" t="s">
        <v>58</v>
      </c>
      <c r="AA16" s="7" t="s">
        <v>58</v>
      </c>
      <c r="AB16" s="7" t="s">
        <v>58</v>
      </c>
      <c r="AC16" s="7" t="s">
        <v>67</v>
      </c>
      <c r="AD16" s="7" t="s">
        <v>66</v>
      </c>
      <c r="AE16" s="7" t="s">
        <v>67</v>
      </c>
      <c r="AF16" s="7" t="s">
        <v>58</v>
      </c>
      <c r="AG16" s="7" t="s">
        <v>58</v>
      </c>
      <c r="AH16" s="7" t="s">
        <v>58</v>
      </c>
      <c r="AI16" s="7" t="s">
        <v>77</v>
      </c>
      <c r="AJ16" s="7" t="s">
        <v>69</v>
      </c>
      <c r="AK16" s="7" t="s">
        <v>69</v>
      </c>
      <c r="AL16" s="7">
        <v>3.0</v>
      </c>
      <c r="AM16" s="7">
        <v>3.0</v>
      </c>
      <c r="AN16" s="7">
        <v>2.0</v>
      </c>
      <c r="AO16" s="7">
        <v>1.0</v>
      </c>
      <c r="AP16" s="7">
        <v>5.0</v>
      </c>
      <c r="AQ16" s="7">
        <v>5.0</v>
      </c>
      <c r="AR16" s="7">
        <v>2.0</v>
      </c>
      <c r="AS16" s="7">
        <v>2.0</v>
      </c>
      <c r="AT16" s="7">
        <v>3.0</v>
      </c>
      <c r="AU16" s="7">
        <v>2.0</v>
      </c>
      <c r="AV16" s="7">
        <v>4.0</v>
      </c>
      <c r="AW16" s="7">
        <v>2.0</v>
      </c>
      <c r="AX16" s="7">
        <v>4.0</v>
      </c>
      <c r="AY16" s="7">
        <v>1.0</v>
      </c>
      <c r="AZ16" s="7">
        <v>1.0</v>
      </c>
      <c r="BA16" s="7">
        <v>1.0</v>
      </c>
      <c r="BB16" s="7" t="s">
        <v>70</v>
      </c>
      <c r="BC16" s="7">
        <v>7.0</v>
      </c>
      <c r="BD16" s="7">
        <v>5.0</v>
      </c>
      <c r="BE16" s="7" t="s">
        <v>174</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7.13"/>
    <col customWidth="1" min="6" max="48" width="37.63"/>
    <col customWidth="1" min="49" max="49" width="31.5"/>
    <col customWidth="1" min="50" max="53" width="37.63"/>
    <col customWidth="1" min="54" max="54" width="18.88"/>
    <col customWidth="1" min="55" max="56" width="37.63"/>
    <col customWidth="1" min="57" max="63"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16</v>
      </c>
      <c r="Q1" s="3" t="s">
        <v>15</v>
      </c>
      <c r="R1" s="3" t="s">
        <v>17</v>
      </c>
      <c r="S1" s="3" t="s">
        <v>18</v>
      </c>
      <c r="T1" s="3" t="s">
        <v>19</v>
      </c>
      <c r="U1" s="3" t="s">
        <v>20</v>
      </c>
      <c r="V1" s="3" t="s">
        <v>21</v>
      </c>
      <c r="W1" s="3" t="s">
        <v>22</v>
      </c>
      <c r="X1" s="3" t="s">
        <v>23</v>
      </c>
      <c r="Y1" s="3" t="s">
        <v>24</v>
      </c>
      <c r="Z1" s="3" t="s">
        <v>26</v>
      </c>
      <c r="AA1" s="3" t="s">
        <v>25</v>
      </c>
      <c r="AB1" s="3" t="s">
        <v>27</v>
      </c>
      <c r="AC1" s="3" t="s">
        <v>28</v>
      </c>
      <c r="AD1" s="3" t="s">
        <v>33</v>
      </c>
      <c r="AE1" s="3" t="s">
        <v>29</v>
      </c>
      <c r="AF1" s="3" t="s">
        <v>30</v>
      </c>
      <c r="AG1" s="3" t="s">
        <v>31</v>
      </c>
      <c r="AH1" s="3" t="s">
        <v>32</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ht="22.5" customHeight="1">
      <c r="A2" s="4">
        <v>46020.61538512731</v>
      </c>
      <c r="B2" s="5" t="s">
        <v>57</v>
      </c>
      <c r="C2" s="5" t="s">
        <v>58</v>
      </c>
      <c r="D2" s="5" t="s">
        <v>58</v>
      </c>
      <c r="E2" s="5" t="s">
        <v>59</v>
      </c>
      <c r="F2" s="5" t="s">
        <v>60</v>
      </c>
      <c r="G2" s="5" t="s">
        <v>61</v>
      </c>
      <c r="H2" s="5" t="s">
        <v>60</v>
      </c>
      <c r="I2" s="5" t="s">
        <v>60</v>
      </c>
      <c r="J2" s="5" t="s">
        <v>62</v>
      </c>
      <c r="K2" s="5" t="s">
        <v>63</v>
      </c>
      <c r="L2" s="5" t="s">
        <v>64</v>
      </c>
      <c r="M2" s="5" t="s">
        <v>65</v>
      </c>
      <c r="N2" s="5" t="s">
        <v>58</v>
      </c>
      <c r="O2" s="5" t="s">
        <v>67</v>
      </c>
      <c r="P2" s="5" t="s">
        <v>67</v>
      </c>
      <c r="Q2" s="5" t="s">
        <v>66</v>
      </c>
      <c r="R2" s="5" t="s">
        <v>58</v>
      </c>
      <c r="S2" s="5" t="s">
        <v>58</v>
      </c>
      <c r="T2" s="5" t="s">
        <v>58</v>
      </c>
      <c r="U2" s="5" t="s">
        <v>58</v>
      </c>
      <c r="V2" s="5" t="s">
        <v>67</v>
      </c>
      <c r="W2" s="5" t="s">
        <v>67</v>
      </c>
      <c r="X2" s="5" t="s">
        <v>58</v>
      </c>
      <c r="Y2" s="5" t="s">
        <v>58</v>
      </c>
      <c r="Z2" s="5" t="s">
        <v>58</v>
      </c>
      <c r="AA2" s="5" t="s">
        <v>66</v>
      </c>
      <c r="AB2" s="5" t="s">
        <v>58</v>
      </c>
      <c r="AC2" s="5" t="s">
        <v>67</v>
      </c>
      <c r="AD2" s="5" t="s">
        <v>66</v>
      </c>
      <c r="AE2" s="5" t="s">
        <v>67</v>
      </c>
      <c r="AF2" s="5" t="s">
        <v>58</v>
      </c>
      <c r="AG2" s="5" t="s">
        <v>58</v>
      </c>
      <c r="AH2" s="5" t="s">
        <v>58</v>
      </c>
      <c r="AI2" s="5" t="s">
        <v>68</v>
      </c>
      <c r="AJ2" s="5" t="s">
        <v>69</v>
      </c>
      <c r="AK2" s="5" t="s">
        <v>69</v>
      </c>
      <c r="AL2" s="5">
        <v>1.0</v>
      </c>
      <c r="AM2" s="5">
        <v>2.0</v>
      </c>
      <c r="AN2" s="5">
        <v>2.0</v>
      </c>
      <c r="AO2" s="5">
        <v>2.0</v>
      </c>
      <c r="AP2" s="5">
        <v>4.0</v>
      </c>
      <c r="AQ2" s="5">
        <v>4.0</v>
      </c>
      <c r="AR2" s="5">
        <v>1.0</v>
      </c>
      <c r="AS2" s="5">
        <v>4.0</v>
      </c>
      <c r="AT2" s="5">
        <v>2.0</v>
      </c>
      <c r="AU2" s="5">
        <v>5.0</v>
      </c>
      <c r="AV2" s="5">
        <v>3.0</v>
      </c>
      <c r="AW2" s="5">
        <v>4.0</v>
      </c>
      <c r="AX2" s="5">
        <v>2.0</v>
      </c>
      <c r="AY2" s="5">
        <v>4.0</v>
      </c>
      <c r="AZ2" s="5">
        <v>1.0</v>
      </c>
      <c r="BA2" s="5">
        <v>5.0</v>
      </c>
      <c r="BB2" s="5" t="s">
        <v>70</v>
      </c>
      <c r="BC2" s="5">
        <v>4.0</v>
      </c>
      <c r="BD2" s="5">
        <v>8.0</v>
      </c>
      <c r="BE2" s="5" t="s">
        <v>175</v>
      </c>
    </row>
    <row r="3" ht="22.5" customHeight="1">
      <c r="A3" s="4">
        <v>46020.63128741898</v>
      </c>
      <c r="B3" s="5" t="s">
        <v>57</v>
      </c>
      <c r="C3" s="5" t="s">
        <v>58</v>
      </c>
      <c r="D3" s="5" t="s">
        <v>58</v>
      </c>
      <c r="E3" s="5" t="s">
        <v>59</v>
      </c>
      <c r="F3" s="5" t="s">
        <v>60</v>
      </c>
      <c r="G3" s="5" t="s">
        <v>61</v>
      </c>
      <c r="H3" s="5" t="s">
        <v>60</v>
      </c>
      <c r="I3" s="5" t="s">
        <v>60</v>
      </c>
      <c r="J3" s="5" t="s">
        <v>62</v>
      </c>
      <c r="K3" s="5" t="s">
        <v>63</v>
      </c>
      <c r="L3" s="5" t="s">
        <v>64</v>
      </c>
      <c r="M3" s="5" t="s">
        <v>65</v>
      </c>
      <c r="N3" s="5" t="s">
        <v>58</v>
      </c>
      <c r="O3" s="5" t="s">
        <v>67</v>
      </c>
      <c r="P3" s="5" t="s">
        <v>67</v>
      </c>
      <c r="Q3" s="5" t="s">
        <v>66</v>
      </c>
      <c r="R3" s="5" t="s">
        <v>58</v>
      </c>
      <c r="S3" s="5" t="s">
        <v>58</v>
      </c>
      <c r="T3" s="5" t="s">
        <v>58</v>
      </c>
      <c r="U3" s="5" t="s">
        <v>58</v>
      </c>
      <c r="V3" s="5" t="s">
        <v>67</v>
      </c>
      <c r="W3" s="5" t="s">
        <v>67</v>
      </c>
      <c r="X3" s="5" t="s">
        <v>58</v>
      </c>
      <c r="Y3" s="5" t="s">
        <v>58</v>
      </c>
      <c r="Z3" s="5" t="s">
        <v>58</v>
      </c>
      <c r="AA3" s="5" t="s">
        <v>66</v>
      </c>
      <c r="AB3" s="5" t="s">
        <v>58</v>
      </c>
      <c r="AC3" s="5" t="s">
        <v>67</v>
      </c>
      <c r="AD3" s="5" t="s">
        <v>66</v>
      </c>
      <c r="AE3" s="5" t="s">
        <v>67</v>
      </c>
      <c r="AF3" s="5" t="s">
        <v>58</v>
      </c>
      <c r="AG3" s="5" t="s">
        <v>58</v>
      </c>
      <c r="AH3" s="5" t="s">
        <v>58</v>
      </c>
      <c r="AI3" s="5" t="s">
        <v>68</v>
      </c>
      <c r="AJ3" s="5" t="s">
        <v>68</v>
      </c>
      <c r="AK3" s="5" t="s">
        <v>68</v>
      </c>
      <c r="AL3" s="5">
        <v>4.0</v>
      </c>
      <c r="AM3" s="5">
        <v>2.0</v>
      </c>
      <c r="AN3" s="5">
        <v>4.0</v>
      </c>
      <c r="AO3" s="5">
        <v>3.0</v>
      </c>
      <c r="AP3" s="5">
        <v>4.0</v>
      </c>
      <c r="AQ3" s="5">
        <v>5.0</v>
      </c>
      <c r="AR3" s="5">
        <v>4.0</v>
      </c>
      <c r="AS3" s="5">
        <v>5.0</v>
      </c>
      <c r="AT3" s="5">
        <v>1.0</v>
      </c>
      <c r="AU3" s="5">
        <v>5.0</v>
      </c>
      <c r="AV3" s="5">
        <v>3.0</v>
      </c>
      <c r="AW3" s="5">
        <v>5.0</v>
      </c>
      <c r="AX3" s="5">
        <v>1.0</v>
      </c>
      <c r="AY3" s="5">
        <v>2.0</v>
      </c>
      <c r="AZ3" s="5">
        <v>5.0</v>
      </c>
      <c r="BA3" s="5">
        <v>5.0</v>
      </c>
      <c r="BB3" s="5" t="s">
        <v>74</v>
      </c>
      <c r="BC3" s="5">
        <v>1.0</v>
      </c>
      <c r="BD3" s="5">
        <v>6.0</v>
      </c>
      <c r="BE3" s="5" t="s">
        <v>176</v>
      </c>
    </row>
    <row r="4" ht="22.5" customHeight="1">
      <c r="A4" s="4">
        <v>46020.66761041667</v>
      </c>
      <c r="B4" s="5" t="s">
        <v>57</v>
      </c>
      <c r="C4" s="5" t="s">
        <v>58</v>
      </c>
      <c r="D4" s="5" t="s">
        <v>58</v>
      </c>
      <c r="E4" s="5" t="s">
        <v>59</v>
      </c>
      <c r="F4" s="5" t="s">
        <v>60</v>
      </c>
      <c r="G4" s="5" t="s">
        <v>61</v>
      </c>
      <c r="H4" s="5" t="s">
        <v>60</v>
      </c>
      <c r="I4" s="5" t="s">
        <v>60</v>
      </c>
      <c r="J4" s="5" t="s">
        <v>62</v>
      </c>
      <c r="K4" s="5" t="s">
        <v>63</v>
      </c>
      <c r="L4" s="5" t="s">
        <v>64</v>
      </c>
      <c r="M4" s="5" t="s">
        <v>65</v>
      </c>
      <c r="N4" s="5" t="s">
        <v>67</v>
      </c>
      <c r="O4" s="5" t="s">
        <v>58</v>
      </c>
      <c r="P4" s="5" t="s">
        <v>67</v>
      </c>
      <c r="Q4" s="5" t="s">
        <v>66</v>
      </c>
      <c r="R4" s="5" t="s">
        <v>67</v>
      </c>
      <c r="S4" s="5" t="s">
        <v>67</v>
      </c>
      <c r="T4" s="5" t="s">
        <v>67</v>
      </c>
      <c r="U4" s="5" t="s">
        <v>67</v>
      </c>
      <c r="V4" s="5" t="s">
        <v>58</v>
      </c>
      <c r="W4" s="5" t="s">
        <v>58</v>
      </c>
      <c r="X4" s="5" t="s">
        <v>67</v>
      </c>
      <c r="Y4" s="5" t="s">
        <v>67</v>
      </c>
      <c r="Z4" s="5" t="s">
        <v>58</v>
      </c>
      <c r="AA4" s="5" t="s">
        <v>66</v>
      </c>
      <c r="AB4" s="5" t="s">
        <v>58</v>
      </c>
      <c r="AC4" s="5" t="s">
        <v>58</v>
      </c>
      <c r="AD4" s="5" t="s">
        <v>66</v>
      </c>
      <c r="AE4" s="5" t="s">
        <v>58</v>
      </c>
      <c r="AF4" s="5" t="s">
        <v>67</v>
      </c>
      <c r="AG4" s="5" t="s">
        <v>67</v>
      </c>
      <c r="AH4" s="5" t="s">
        <v>67</v>
      </c>
      <c r="AI4" s="5" t="s">
        <v>68</v>
      </c>
      <c r="AJ4" s="5" t="s">
        <v>69</v>
      </c>
      <c r="AK4" s="5" t="s">
        <v>73</v>
      </c>
      <c r="AL4" s="5">
        <v>4.0</v>
      </c>
      <c r="AM4" s="5">
        <v>4.0</v>
      </c>
      <c r="AN4" s="5">
        <v>1.0</v>
      </c>
      <c r="AO4" s="5">
        <v>1.0</v>
      </c>
      <c r="AP4" s="5">
        <v>5.0</v>
      </c>
      <c r="AQ4" s="5">
        <v>5.0</v>
      </c>
      <c r="AR4" s="5">
        <v>1.0</v>
      </c>
      <c r="AS4" s="5">
        <v>1.0</v>
      </c>
      <c r="AT4" s="5">
        <v>1.0</v>
      </c>
      <c r="AU4" s="5">
        <v>1.0</v>
      </c>
      <c r="AV4" s="5">
        <v>5.0</v>
      </c>
      <c r="AW4" s="5">
        <v>1.0</v>
      </c>
      <c r="AX4" s="5">
        <v>3.0</v>
      </c>
      <c r="AY4" s="5">
        <v>1.0</v>
      </c>
      <c r="AZ4" s="5">
        <v>3.0</v>
      </c>
      <c r="BA4" s="5">
        <v>3.0</v>
      </c>
      <c r="BB4" s="5" t="s">
        <v>74</v>
      </c>
      <c r="BC4" s="5">
        <v>4.0</v>
      </c>
      <c r="BD4" s="5">
        <v>7.0</v>
      </c>
      <c r="BE4" s="5" t="s">
        <v>177</v>
      </c>
    </row>
    <row r="5" ht="22.5" customHeight="1">
      <c r="A5" s="4">
        <v>46020.85399699074</v>
      </c>
      <c r="B5" s="5" t="s">
        <v>57</v>
      </c>
      <c r="C5" s="5" t="s">
        <v>58</v>
      </c>
      <c r="D5" s="5" t="s">
        <v>58</v>
      </c>
      <c r="E5" s="5" t="s">
        <v>59</v>
      </c>
      <c r="F5" s="5" t="s">
        <v>60</v>
      </c>
      <c r="G5" s="5" t="s">
        <v>61</v>
      </c>
      <c r="H5" s="5" t="s">
        <v>60</v>
      </c>
      <c r="I5" s="5" t="s">
        <v>60</v>
      </c>
      <c r="J5" s="5" t="s">
        <v>62</v>
      </c>
      <c r="K5" s="5" t="s">
        <v>63</v>
      </c>
      <c r="L5" s="5" t="s">
        <v>64</v>
      </c>
      <c r="M5" s="5" t="s">
        <v>65</v>
      </c>
      <c r="N5" s="5" t="s">
        <v>58</v>
      </c>
      <c r="O5" s="5" t="s">
        <v>58</v>
      </c>
      <c r="P5" s="5" t="s">
        <v>67</v>
      </c>
      <c r="Q5" s="5" t="s">
        <v>66</v>
      </c>
      <c r="R5" s="5" t="s">
        <v>58</v>
      </c>
      <c r="S5" s="5" t="s">
        <v>58</v>
      </c>
      <c r="T5" s="5" t="s">
        <v>58</v>
      </c>
      <c r="U5" s="5" t="s">
        <v>58</v>
      </c>
      <c r="V5" s="5" t="s">
        <v>58</v>
      </c>
      <c r="W5" s="5" t="s">
        <v>67</v>
      </c>
      <c r="X5" s="5" t="s">
        <v>58</v>
      </c>
      <c r="Y5" s="5" t="s">
        <v>58</v>
      </c>
      <c r="Z5" s="5" t="s">
        <v>58</v>
      </c>
      <c r="AA5" s="5" t="s">
        <v>66</v>
      </c>
      <c r="AB5" s="5" t="s">
        <v>58</v>
      </c>
      <c r="AC5" s="5" t="s">
        <v>58</v>
      </c>
      <c r="AD5" s="5" t="s">
        <v>66</v>
      </c>
      <c r="AE5" s="5" t="s">
        <v>67</v>
      </c>
      <c r="AF5" s="5" t="s">
        <v>58</v>
      </c>
      <c r="AG5" s="5" t="s">
        <v>58</v>
      </c>
      <c r="AH5" s="5" t="s">
        <v>58</v>
      </c>
      <c r="AI5" s="5" t="s">
        <v>72</v>
      </c>
      <c r="AJ5" s="5" t="s">
        <v>69</v>
      </c>
      <c r="AK5" s="5" t="s">
        <v>69</v>
      </c>
      <c r="AL5" s="5">
        <v>4.0</v>
      </c>
      <c r="AM5" s="5">
        <v>3.0</v>
      </c>
      <c r="AN5" s="5">
        <v>3.0</v>
      </c>
      <c r="AO5" s="5">
        <v>1.0</v>
      </c>
      <c r="AP5" s="5">
        <v>5.0</v>
      </c>
      <c r="AQ5" s="5">
        <v>4.0</v>
      </c>
      <c r="AR5" s="5">
        <v>3.0</v>
      </c>
      <c r="AS5" s="5">
        <v>4.0</v>
      </c>
      <c r="AT5" s="5">
        <v>1.0</v>
      </c>
      <c r="AU5" s="5">
        <v>5.0</v>
      </c>
      <c r="AV5" s="5">
        <v>3.0</v>
      </c>
      <c r="AW5" s="5">
        <v>4.0</v>
      </c>
      <c r="AX5" s="5">
        <v>3.0</v>
      </c>
      <c r="AY5" s="5">
        <v>4.0</v>
      </c>
      <c r="AZ5" s="5">
        <v>1.0</v>
      </c>
      <c r="BA5" s="5">
        <v>3.0</v>
      </c>
      <c r="BB5" s="5" t="s">
        <v>70</v>
      </c>
      <c r="BC5" s="5">
        <v>4.0</v>
      </c>
      <c r="BD5" s="5">
        <v>4.0</v>
      </c>
      <c r="BE5" s="5" t="s">
        <v>178</v>
      </c>
    </row>
    <row r="6" ht="22.5" customHeight="1">
      <c r="A6" s="4">
        <v>46021.82203077547</v>
      </c>
      <c r="B6" s="5" t="s">
        <v>57</v>
      </c>
      <c r="C6" s="5" t="s">
        <v>58</v>
      </c>
      <c r="D6" s="5" t="s">
        <v>58</v>
      </c>
      <c r="E6" s="5" t="s">
        <v>59</v>
      </c>
      <c r="F6" s="5" t="s">
        <v>60</v>
      </c>
      <c r="G6" s="5" t="s">
        <v>61</v>
      </c>
      <c r="H6" s="5" t="s">
        <v>60</v>
      </c>
      <c r="I6" s="5" t="s">
        <v>60</v>
      </c>
      <c r="J6" s="5" t="s">
        <v>62</v>
      </c>
      <c r="K6" s="5" t="s">
        <v>63</v>
      </c>
      <c r="L6" s="5" t="s">
        <v>64</v>
      </c>
      <c r="M6" s="5" t="s">
        <v>65</v>
      </c>
      <c r="N6" s="5" t="s">
        <v>58</v>
      </c>
      <c r="O6" s="5" t="s">
        <v>67</v>
      </c>
      <c r="P6" s="5" t="s">
        <v>67</v>
      </c>
      <c r="Q6" s="5" t="s">
        <v>66</v>
      </c>
      <c r="R6" s="5" t="s">
        <v>67</v>
      </c>
      <c r="S6" s="5" t="s">
        <v>58</v>
      </c>
      <c r="T6" s="5" t="s">
        <v>58</v>
      </c>
      <c r="U6" s="5" t="s">
        <v>58</v>
      </c>
      <c r="V6" s="5" t="s">
        <v>58</v>
      </c>
      <c r="W6" s="5" t="s">
        <v>67</v>
      </c>
      <c r="X6" s="5" t="s">
        <v>58</v>
      </c>
      <c r="Y6" s="5" t="s">
        <v>58</v>
      </c>
      <c r="Z6" s="5" t="s">
        <v>58</v>
      </c>
      <c r="AA6" s="5" t="s">
        <v>66</v>
      </c>
      <c r="AB6" s="5" t="s">
        <v>58</v>
      </c>
      <c r="AC6" s="5" t="s">
        <v>67</v>
      </c>
      <c r="AD6" s="5" t="s">
        <v>66</v>
      </c>
      <c r="AE6" s="5" t="s">
        <v>67</v>
      </c>
      <c r="AF6" s="5" t="s">
        <v>58</v>
      </c>
      <c r="AG6" s="5" t="s">
        <v>58</v>
      </c>
      <c r="AH6" s="5" t="s">
        <v>58</v>
      </c>
      <c r="AI6" s="5" t="s">
        <v>72</v>
      </c>
      <c r="AJ6" s="5" t="s">
        <v>69</v>
      </c>
      <c r="AK6" s="5" t="s">
        <v>73</v>
      </c>
      <c r="AL6" s="5">
        <v>2.0</v>
      </c>
      <c r="AM6" s="5">
        <v>2.0</v>
      </c>
      <c r="AN6" s="5">
        <v>1.0</v>
      </c>
      <c r="AO6" s="5">
        <v>2.0</v>
      </c>
      <c r="AP6" s="5">
        <v>4.0</v>
      </c>
      <c r="AQ6" s="5">
        <v>4.0</v>
      </c>
      <c r="AR6" s="5">
        <v>1.0</v>
      </c>
      <c r="AS6" s="5">
        <v>5.0</v>
      </c>
      <c r="AT6" s="5">
        <v>1.0</v>
      </c>
      <c r="AU6" s="5">
        <v>5.0</v>
      </c>
      <c r="AV6" s="5">
        <v>2.0</v>
      </c>
      <c r="AW6" s="5">
        <v>5.0</v>
      </c>
      <c r="AX6" s="5">
        <v>1.0</v>
      </c>
      <c r="AY6" s="5">
        <v>5.0</v>
      </c>
      <c r="AZ6" s="5">
        <v>1.0</v>
      </c>
      <c r="BA6" s="5">
        <v>5.0</v>
      </c>
      <c r="BB6" s="5" t="s">
        <v>70</v>
      </c>
      <c r="BC6" s="5">
        <v>3.0</v>
      </c>
      <c r="BD6" s="5">
        <v>2.0</v>
      </c>
      <c r="BE6" s="5" t="s">
        <v>179</v>
      </c>
    </row>
    <row r="7" ht="22.5" customHeight="1">
      <c r="A7" s="6">
        <v>46022.68831707176</v>
      </c>
      <c r="B7" s="7" t="s">
        <v>57</v>
      </c>
      <c r="C7" s="7" t="s">
        <v>58</v>
      </c>
      <c r="D7" s="7" t="s">
        <v>58</v>
      </c>
      <c r="E7" s="7" t="s">
        <v>59</v>
      </c>
      <c r="F7" s="7" t="s">
        <v>60</v>
      </c>
      <c r="G7" s="7" t="s">
        <v>61</v>
      </c>
      <c r="H7" s="7" t="s">
        <v>60</v>
      </c>
      <c r="I7" s="7" t="s">
        <v>60</v>
      </c>
      <c r="J7" s="7" t="s">
        <v>62</v>
      </c>
      <c r="K7" s="7" t="s">
        <v>63</v>
      </c>
      <c r="L7" s="7" t="s">
        <v>64</v>
      </c>
      <c r="M7" s="7" t="s">
        <v>65</v>
      </c>
      <c r="N7" s="7" t="s">
        <v>58</v>
      </c>
      <c r="O7" s="7" t="s">
        <v>67</v>
      </c>
      <c r="P7" s="7" t="s">
        <v>67</v>
      </c>
      <c r="Q7" s="7" t="s">
        <v>66</v>
      </c>
      <c r="R7" s="7" t="s">
        <v>67</v>
      </c>
      <c r="S7" s="7" t="s">
        <v>67</v>
      </c>
      <c r="T7" s="7" t="s">
        <v>67</v>
      </c>
      <c r="U7" s="7" t="s">
        <v>58</v>
      </c>
      <c r="V7" s="7" t="s">
        <v>67</v>
      </c>
      <c r="W7" s="7" t="s">
        <v>67</v>
      </c>
      <c r="X7" s="7" t="s">
        <v>67</v>
      </c>
      <c r="Y7" s="7" t="s">
        <v>58</v>
      </c>
      <c r="Z7" s="7" t="s">
        <v>67</v>
      </c>
      <c r="AA7" s="7" t="s">
        <v>66</v>
      </c>
      <c r="AB7" s="7" t="s">
        <v>58</v>
      </c>
      <c r="AC7" s="7" t="s">
        <v>67</v>
      </c>
      <c r="AD7" s="7" t="s">
        <v>66</v>
      </c>
      <c r="AE7" s="7" t="s">
        <v>67</v>
      </c>
      <c r="AF7" s="7" t="s">
        <v>67</v>
      </c>
      <c r="AG7" s="7" t="s">
        <v>58</v>
      </c>
      <c r="AH7" s="7" t="s">
        <v>67</v>
      </c>
      <c r="AI7" s="7" t="s">
        <v>72</v>
      </c>
      <c r="AJ7" s="7" t="s">
        <v>69</v>
      </c>
      <c r="AK7" s="7" t="s">
        <v>73</v>
      </c>
      <c r="AL7" s="7">
        <v>5.0</v>
      </c>
      <c r="AM7" s="7">
        <v>4.0</v>
      </c>
      <c r="AN7" s="7">
        <v>1.0</v>
      </c>
      <c r="AO7" s="7">
        <v>1.0</v>
      </c>
      <c r="AP7" s="7">
        <v>5.0</v>
      </c>
      <c r="AQ7" s="7">
        <v>5.0</v>
      </c>
      <c r="AR7" s="7">
        <v>1.0</v>
      </c>
      <c r="AS7" s="7">
        <v>3.0</v>
      </c>
      <c r="AT7" s="7">
        <v>3.0</v>
      </c>
      <c r="AU7" s="7">
        <v>4.0</v>
      </c>
      <c r="AV7" s="7">
        <v>4.0</v>
      </c>
      <c r="AW7" s="7">
        <v>2.0</v>
      </c>
      <c r="AX7" s="7">
        <v>1.0</v>
      </c>
      <c r="AY7" s="7">
        <v>4.0</v>
      </c>
      <c r="AZ7" s="7">
        <v>1.0</v>
      </c>
      <c r="BA7" s="7">
        <v>4.0</v>
      </c>
      <c r="BB7" s="7" t="s">
        <v>70</v>
      </c>
      <c r="BC7" s="7">
        <v>5.0</v>
      </c>
      <c r="BD7" s="7">
        <v>7.0</v>
      </c>
      <c r="BE7" s="7" t="s">
        <v>180</v>
      </c>
    </row>
    <row r="8" ht="22.5" customHeight="1">
      <c r="A8" s="6">
        <v>46022.756115393524</v>
      </c>
      <c r="B8" s="7" t="s">
        <v>57</v>
      </c>
      <c r="C8" s="7" t="s">
        <v>58</v>
      </c>
      <c r="D8" s="7" t="s">
        <v>58</v>
      </c>
      <c r="E8" s="7" t="s">
        <v>59</v>
      </c>
      <c r="F8" s="7" t="s">
        <v>60</v>
      </c>
      <c r="G8" s="7" t="s">
        <v>61</v>
      </c>
      <c r="H8" s="7" t="s">
        <v>60</v>
      </c>
      <c r="I8" s="7" t="s">
        <v>60</v>
      </c>
      <c r="J8" s="7" t="s">
        <v>62</v>
      </c>
      <c r="K8" s="7" t="s">
        <v>63</v>
      </c>
      <c r="L8" s="7" t="s">
        <v>64</v>
      </c>
      <c r="M8" s="7" t="s">
        <v>65</v>
      </c>
      <c r="N8" s="7" t="s">
        <v>58</v>
      </c>
      <c r="O8" s="7" t="s">
        <v>67</v>
      </c>
      <c r="P8" s="7" t="s">
        <v>58</v>
      </c>
      <c r="Q8" s="7" t="s">
        <v>67</v>
      </c>
      <c r="R8" s="7" t="s">
        <v>58</v>
      </c>
      <c r="S8" s="7" t="s">
        <v>67</v>
      </c>
      <c r="T8" s="7" t="s">
        <v>58</v>
      </c>
      <c r="U8" s="7" t="s">
        <v>67</v>
      </c>
      <c r="V8" s="7" t="s">
        <v>67</v>
      </c>
      <c r="W8" s="7" t="s">
        <v>67</v>
      </c>
      <c r="X8" s="7" t="s">
        <v>67</v>
      </c>
      <c r="Y8" s="7" t="s">
        <v>58</v>
      </c>
      <c r="Z8" s="7" t="s">
        <v>67</v>
      </c>
      <c r="AA8" s="7" t="s">
        <v>67</v>
      </c>
      <c r="AB8" s="7" t="s">
        <v>67</v>
      </c>
      <c r="AC8" s="7" t="s">
        <v>67</v>
      </c>
      <c r="AD8" s="7" t="s">
        <v>67</v>
      </c>
      <c r="AE8" s="7" t="s">
        <v>67</v>
      </c>
      <c r="AF8" s="7" t="s">
        <v>67</v>
      </c>
      <c r="AG8" s="7" t="s">
        <v>58</v>
      </c>
      <c r="AH8" s="7" t="s">
        <v>67</v>
      </c>
      <c r="AI8" s="7" t="s">
        <v>72</v>
      </c>
      <c r="AJ8" s="7" t="s">
        <v>73</v>
      </c>
      <c r="AK8" s="7" t="s">
        <v>73</v>
      </c>
      <c r="AL8" s="7">
        <v>5.0</v>
      </c>
      <c r="AM8" s="7">
        <v>5.0</v>
      </c>
      <c r="AN8" s="7">
        <v>5.0</v>
      </c>
      <c r="AO8" s="7">
        <v>5.0</v>
      </c>
      <c r="AP8" s="7">
        <v>5.0</v>
      </c>
      <c r="AQ8" s="7">
        <v>5.0</v>
      </c>
      <c r="AR8" s="7">
        <v>3.0</v>
      </c>
      <c r="AS8" s="7">
        <v>3.0</v>
      </c>
      <c r="AT8" s="7">
        <v>3.0</v>
      </c>
      <c r="AU8" s="7">
        <v>3.0</v>
      </c>
      <c r="AV8" s="7">
        <v>3.0</v>
      </c>
      <c r="AW8" s="7">
        <v>3.0</v>
      </c>
      <c r="AX8" s="7">
        <v>3.0</v>
      </c>
      <c r="AY8" s="7">
        <v>3.0</v>
      </c>
      <c r="AZ8" s="7">
        <v>3.0</v>
      </c>
      <c r="BA8" s="7">
        <v>3.0</v>
      </c>
      <c r="BB8" s="7" t="s">
        <v>70</v>
      </c>
      <c r="BC8" s="7">
        <v>3.0</v>
      </c>
      <c r="BD8" s="7">
        <v>4.0</v>
      </c>
      <c r="BE8" s="7" t="s">
        <v>181</v>
      </c>
    </row>
    <row r="9" ht="22.5" customHeight="1">
      <c r="A9" s="6">
        <v>46022.769448437495</v>
      </c>
      <c r="B9" s="7" t="s">
        <v>57</v>
      </c>
      <c r="C9" s="7" t="s">
        <v>58</v>
      </c>
      <c r="D9" s="7" t="s">
        <v>58</v>
      </c>
      <c r="E9" s="7" t="s">
        <v>59</v>
      </c>
      <c r="F9" s="7" t="s">
        <v>60</v>
      </c>
      <c r="G9" s="7" t="s">
        <v>61</v>
      </c>
      <c r="H9" s="7" t="s">
        <v>60</v>
      </c>
      <c r="I9" s="7" t="s">
        <v>60</v>
      </c>
      <c r="J9" s="7" t="s">
        <v>62</v>
      </c>
      <c r="K9" s="7" t="s">
        <v>63</v>
      </c>
      <c r="L9" s="7" t="s">
        <v>64</v>
      </c>
      <c r="M9" s="7" t="s">
        <v>65</v>
      </c>
      <c r="N9" s="7" t="s">
        <v>58</v>
      </c>
      <c r="O9" s="7" t="s">
        <v>67</v>
      </c>
      <c r="P9" s="7" t="s">
        <v>67</v>
      </c>
      <c r="Q9" s="7" t="s">
        <v>58</v>
      </c>
      <c r="R9" s="7" t="s">
        <v>67</v>
      </c>
      <c r="S9" s="7" t="s">
        <v>58</v>
      </c>
      <c r="T9" s="7" t="s">
        <v>67</v>
      </c>
      <c r="U9" s="7" t="s">
        <v>58</v>
      </c>
      <c r="V9" s="7" t="s">
        <v>67</v>
      </c>
      <c r="W9" s="7" t="s">
        <v>58</v>
      </c>
      <c r="X9" s="7" t="s">
        <v>67</v>
      </c>
      <c r="Y9" s="7" t="s">
        <v>58</v>
      </c>
      <c r="Z9" s="7" t="s">
        <v>58</v>
      </c>
      <c r="AA9" s="7" t="s">
        <v>66</v>
      </c>
      <c r="AB9" s="7" t="s">
        <v>67</v>
      </c>
      <c r="AC9" s="7" t="s">
        <v>58</v>
      </c>
      <c r="AD9" s="7" t="s">
        <v>58</v>
      </c>
      <c r="AE9" s="7" t="s">
        <v>67</v>
      </c>
      <c r="AF9" s="7" t="s">
        <v>67</v>
      </c>
      <c r="AG9" s="7" t="s">
        <v>58</v>
      </c>
      <c r="AH9" s="7" t="s">
        <v>58</v>
      </c>
      <c r="AI9" s="7" t="s">
        <v>72</v>
      </c>
      <c r="AJ9" s="7" t="s">
        <v>69</v>
      </c>
      <c r="AK9" s="7" t="s">
        <v>73</v>
      </c>
      <c r="AL9" s="7">
        <v>1.0</v>
      </c>
      <c r="AM9" s="7">
        <v>4.0</v>
      </c>
      <c r="AN9" s="7">
        <v>5.0</v>
      </c>
      <c r="AO9" s="7">
        <v>5.0</v>
      </c>
      <c r="AP9" s="7">
        <v>3.0</v>
      </c>
      <c r="AQ9" s="7">
        <v>4.0</v>
      </c>
      <c r="AR9" s="7">
        <v>3.0</v>
      </c>
      <c r="AS9" s="7">
        <v>5.0</v>
      </c>
      <c r="AT9" s="7">
        <v>3.0</v>
      </c>
      <c r="AU9" s="7">
        <v>3.0</v>
      </c>
      <c r="AV9" s="7">
        <v>4.0</v>
      </c>
      <c r="AW9" s="7">
        <v>4.0</v>
      </c>
      <c r="AX9" s="7">
        <v>1.0</v>
      </c>
      <c r="AY9" s="7">
        <v>5.0</v>
      </c>
      <c r="AZ9" s="7">
        <v>4.0</v>
      </c>
      <c r="BA9" s="7">
        <v>5.0</v>
      </c>
      <c r="BB9" s="7" t="s">
        <v>70</v>
      </c>
      <c r="BC9" s="7">
        <v>5.0</v>
      </c>
      <c r="BD9" s="7">
        <v>5.0</v>
      </c>
      <c r="BE9" s="7" t="s">
        <v>182</v>
      </c>
    </row>
    <row r="10" ht="22.5" customHeight="1">
      <c r="A10" s="6">
        <v>46024.571994074075</v>
      </c>
      <c r="B10" s="7" t="s">
        <v>57</v>
      </c>
      <c r="C10" s="7" t="s">
        <v>58</v>
      </c>
      <c r="D10" s="7" t="s">
        <v>58</v>
      </c>
      <c r="E10" s="7" t="s">
        <v>59</v>
      </c>
      <c r="F10" s="7" t="s">
        <v>60</v>
      </c>
      <c r="G10" s="7" t="s">
        <v>61</v>
      </c>
      <c r="H10" s="7" t="s">
        <v>60</v>
      </c>
      <c r="I10" s="7" t="s">
        <v>60</v>
      </c>
      <c r="J10" s="7" t="s">
        <v>62</v>
      </c>
      <c r="K10" s="7" t="s">
        <v>63</v>
      </c>
      <c r="L10" s="7" t="s">
        <v>64</v>
      </c>
      <c r="M10" s="7" t="s">
        <v>65</v>
      </c>
      <c r="N10" s="7" t="s">
        <v>67</v>
      </c>
      <c r="O10" s="7" t="s">
        <v>58</v>
      </c>
      <c r="P10" s="7" t="s">
        <v>58</v>
      </c>
      <c r="Q10" s="7" t="s">
        <v>66</v>
      </c>
      <c r="R10" s="7" t="s">
        <v>58</v>
      </c>
      <c r="S10" s="7" t="s">
        <v>58</v>
      </c>
      <c r="T10" s="7" t="s">
        <v>58</v>
      </c>
      <c r="U10" s="7" t="s">
        <v>58</v>
      </c>
      <c r="V10" s="7" t="s">
        <v>58</v>
      </c>
      <c r="W10" s="7" t="s">
        <v>58</v>
      </c>
      <c r="X10" s="7" t="s">
        <v>67</v>
      </c>
      <c r="Y10" s="7" t="s">
        <v>58</v>
      </c>
      <c r="Z10" s="7" t="s">
        <v>67</v>
      </c>
      <c r="AA10" s="7" t="s">
        <v>66</v>
      </c>
      <c r="AB10" s="7" t="s">
        <v>58</v>
      </c>
      <c r="AC10" s="7" t="s">
        <v>58</v>
      </c>
      <c r="AD10" s="7" t="s">
        <v>66</v>
      </c>
      <c r="AE10" s="7" t="s">
        <v>58</v>
      </c>
      <c r="AF10" s="7" t="s">
        <v>67</v>
      </c>
      <c r="AG10" s="7" t="s">
        <v>67</v>
      </c>
      <c r="AH10" s="7" t="s">
        <v>67</v>
      </c>
      <c r="AI10" s="7" t="s">
        <v>68</v>
      </c>
      <c r="AJ10" s="7" t="s">
        <v>69</v>
      </c>
      <c r="AK10" s="7" t="s">
        <v>68</v>
      </c>
      <c r="AL10" s="7">
        <v>4.0</v>
      </c>
      <c r="AM10" s="7">
        <v>5.0</v>
      </c>
      <c r="AN10" s="7">
        <v>4.0</v>
      </c>
      <c r="AO10" s="7">
        <v>1.0</v>
      </c>
      <c r="AP10" s="7">
        <v>5.0</v>
      </c>
      <c r="AQ10" s="7">
        <v>5.0</v>
      </c>
      <c r="AR10" s="7">
        <v>4.0</v>
      </c>
      <c r="AS10" s="7">
        <v>5.0</v>
      </c>
      <c r="AT10" s="7">
        <v>1.0</v>
      </c>
      <c r="AU10" s="7">
        <v>4.0</v>
      </c>
      <c r="AV10" s="7">
        <v>5.0</v>
      </c>
      <c r="AW10" s="7">
        <v>4.0</v>
      </c>
      <c r="AX10" s="7">
        <v>3.0</v>
      </c>
      <c r="AY10" s="7">
        <v>5.0</v>
      </c>
      <c r="AZ10" s="7">
        <v>1.0</v>
      </c>
      <c r="BA10" s="7">
        <v>4.0</v>
      </c>
      <c r="BB10" s="7" t="s">
        <v>74</v>
      </c>
      <c r="BC10" s="7">
        <v>6.0</v>
      </c>
      <c r="BD10" s="7">
        <v>8.0</v>
      </c>
      <c r="BE10" s="7" t="s">
        <v>183</v>
      </c>
    </row>
    <row r="11" ht="22.5" customHeight="1">
      <c r="A11" s="6">
        <v>46024.57758677083</v>
      </c>
      <c r="B11" s="7" t="s">
        <v>57</v>
      </c>
      <c r="C11" s="7" t="s">
        <v>58</v>
      </c>
      <c r="D11" s="7" t="s">
        <v>58</v>
      </c>
      <c r="E11" s="7" t="s">
        <v>59</v>
      </c>
      <c r="F11" s="7" t="s">
        <v>60</v>
      </c>
      <c r="G11" s="7" t="s">
        <v>61</v>
      </c>
      <c r="H11" s="7" t="s">
        <v>60</v>
      </c>
      <c r="I11" s="7" t="s">
        <v>60</v>
      </c>
      <c r="J11" s="7" t="s">
        <v>62</v>
      </c>
      <c r="K11" s="7" t="s">
        <v>63</v>
      </c>
      <c r="L11" s="7" t="s">
        <v>64</v>
      </c>
      <c r="M11" s="7" t="s">
        <v>65</v>
      </c>
      <c r="N11" s="7" t="s">
        <v>58</v>
      </c>
      <c r="O11" s="7" t="s">
        <v>67</v>
      </c>
      <c r="P11" s="7" t="s">
        <v>58</v>
      </c>
      <c r="Q11" s="7" t="s">
        <v>66</v>
      </c>
      <c r="R11" s="7" t="s">
        <v>58</v>
      </c>
      <c r="S11" s="7" t="s">
        <v>58</v>
      </c>
      <c r="T11" s="7" t="s">
        <v>58</v>
      </c>
      <c r="U11" s="7" t="s">
        <v>58</v>
      </c>
      <c r="V11" s="7" t="s">
        <v>67</v>
      </c>
      <c r="W11" s="7" t="s">
        <v>58</v>
      </c>
      <c r="X11" s="7" t="s">
        <v>58</v>
      </c>
      <c r="Y11" s="7" t="s">
        <v>58</v>
      </c>
      <c r="Z11" s="7" t="s">
        <v>67</v>
      </c>
      <c r="AA11" s="7" t="s">
        <v>66</v>
      </c>
      <c r="AB11" s="7" t="s">
        <v>58</v>
      </c>
      <c r="AC11" s="7" t="s">
        <v>67</v>
      </c>
      <c r="AD11" s="7" t="s">
        <v>66</v>
      </c>
      <c r="AE11" s="7" t="s">
        <v>67</v>
      </c>
      <c r="AF11" s="7" t="s">
        <v>58</v>
      </c>
      <c r="AG11" s="7" t="s">
        <v>58</v>
      </c>
      <c r="AH11" s="7" t="s">
        <v>58</v>
      </c>
      <c r="AI11" s="7" t="s">
        <v>68</v>
      </c>
      <c r="AJ11" s="7" t="s">
        <v>69</v>
      </c>
      <c r="AK11" s="7" t="s">
        <v>69</v>
      </c>
      <c r="AL11" s="7">
        <v>5.0</v>
      </c>
      <c r="AM11" s="7">
        <v>3.0</v>
      </c>
      <c r="AN11" s="7">
        <v>2.0</v>
      </c>
      <c r="AO11" s="7">
        <v>1.0</v>
      </c>
      <c r="AP11" s="7">
        <v>4.0</v>
      </c>
      <c r="AQ11" s="7">
        <v>4.0</v>
      </c>
      <c r="AR11" s="7">
        <v>1.0</v>
      </c>
      <c r="AS11" s="7">
        <v>3.0</v>
      </c>
      <c r="AT11" s="7">
        <v>2.0</v>
      </c>
      <c r="AU11" s="7">
        <v>4.0</v>
      </c>
      <c r="AV11" s="7">
        <v>4.0</v>
      </c>
      <c r="AW11" s="7">
        <v>4.0</v>
      </c>
      <c r="AX11" s="7">
        <v>3.0</v>
      </c>
      <c r="AY11" s="7">
        <v>5.0</v>
      </c>
      <c r="AZ11" s="7">
        <v>1.0</v>
      </c>
      <c r="BA11" s="7">
        <v>3.0</v>
      </c>
      <c r="BB11" s="7" t="s">
        <v>70</v>
      </c>
      <c r="BC11" s="7">
        <v>5.0</v>
      </c>
      <c r="BD11" s="7">
        <v>6.0</v>
      </c>
      <c r="BE11" s="7" t="s">
        <v>184</v>
      </c>
    </row>
    <row r="12" ht="22.5" customHeight="1">
      <c r="A12" s="6">
        <v>46024.78141325232</v>
      </c>
      <c r="B12" s="7" t="s">
        <v>57</v>
      </c>
      <c r="C12" s="7" t="s">
        <v>58</v>
      </c>
      <c r="D12" s="7" t="s">
        <v>58</v>
      </c>
      <c r="E12" s="7" t="s">
        <v>59</v>
      </c>
      <c r="F12" s="7" t="s">
        <v>60</v>
      </c>
      <c r="G12" s="7" t="s">
        <v>61</v>
      </c>
      <c r="H12" s="7" t="s">
        <v>60</v>
      </c>
      <c r="I12" s="7" t="s">
        <v>60</v>
      </c>
      <c r="J12" s="7" t="s">
        <v>62</v>
      </c>
      <c r="K12" s="7" t="s">
        <v>63</v>
      </c>
      <c r="L12" s="7" t="s">
        <v>64</v>
      </c>
      <c r="M12" s="7" t="s">
        <v>65</v>
      </c>
      <c r="N12" s="7" t="s">
        <v>58</v>
      </c>
      <c r="O12" s="7" t="s">
        <v>67</v>
      </c>
      <c r="P12" s="7" t="s">
        <v>58</v>
      </c>
      <c r="Q12" s="7" t="s">
        <v>66</v>
      </c>
      <c r="R12" s="7" t="s">
        <v>67</v>
      </c>
      <c r="S12" s="7" t="s">
        <v>58</v>
      </c>
      <c r="T12" s="7" t="s">
        <v>58</v>
      </c>
      <c r="U12" s="7" t="s">
        <v>58</v>
      </c>
      <c r="V12" s="7" t="s">
        <v>67</v>
      </c>
      <c r="W12" s="7" t="s">
        <v>58</v>
      </c>
      <c r="X12" s="7" t="s">
        <v>58</v>
      </c>
      <c r="Y12" s="7" t="s">
        <v>58</v>
      </c>
      <c r="Z12" s="7" t="s">
        <v>58</v>
      </c>
      <c r="AA12" s="7" t="s">
        <v>66</v>
      </c>
      <c r="AB12" s="7" t="s">
        <v>58</v>
      </c>
      <c r="AC12" s="7" t="s">
        <v>67</v>
      </c>
      <c r="AD12" s="7" t="s">
        <v>66</v>
      </c>
      <c r="AE12" s="7" t="s">
        <v>67</v>
      </c>
      <c r="AF12" s="7" t="s">
        <v>58</v>
      </c>
      <c r="AG12" s="7" t="s">
        <v>58</v>
      </c>
      <c r="AH12" s="7" t="s">
        <v>58</v>
      </c>
      <c r="AI12" s="7" t="s">
        <v>77</v>
      </c>
      <c r="AJ12" s="7" t="s">
        <v>69</v>
      </c>
      <c r="AK12" s="7" t="s">
        <v>69</v>
      </c>
      <c r="AL12" s="7">
        <v>4.0</v>
      </c>
      <c r="AM12" s="7">
        <v>4.0</v>
      </c>
      <c r="AN12" s="7">
        <v>1.0</v>
      </c>
      <c r="AO12" s="7">
        <v>1.0</v>
      </c>
      <c r="AP12" s="7">
        <v>5.0</v>
      </c>
      <c r="AQ12" s="7">
        <v>5.0</v>
      </c>
      <c r="AR12" s="7">
        <v>3.0</v>
      </c>
      <c r="AS12" s="7">
        <v>5.0</v>
      </c>
      <c r="AT12" s="7">
        <v>1.0</v>
      </c>
      <c r="AU12" s="7">
        <v>5.0</v>
      </c>
      <c r="AV12" s="7">
        <v>1.0</v>
      </c>
      <c r="AW12" s="7">
        <v>5.0</v>
      </c>
      <c r="AX12" s="7">
        <v>2.0</v>
      </c>
      <c r="AY12" s="7">
        <v>5.0</v>
      </c>
      <c r="AZ12" s="7">
        <v>1.0</v>
      </c>
      <c r="BA12" s="7">
        <v>5.0</v>
      </c>
      <c r="BB12" s="7" t="s">
        <v>74</v>
      </c>
      <c r="BC12" s="7">
        <v>2.0</v>
      </c>
      <c r="BD12" s="7">
        <v>6.0</v>
      </c>
      <c r="BE12" s="7" t="s">
        <v>185</v>
      </c>
    </row>
    <row r="13" ht="22.5" customHeight="1">
      <c r="A13" s="6">
        <v>46026.62087817129</v>
      </c>
      <c r="B13" s="7" t="s">
        <v>57</v>
      </c>
      <c r="C13" s="7" t="s">
        <v>58</v>
      </c>
      <c r="D13" s="7" t="s">
        <v>58</v>
      </c>
      <c r="E13" s="7" t="s">
        <v>59</v>
      </c>
      <c r="F13" s="7" t="s">
        <v>60</v>
      </c>
      <c r="G13" s="7" t="s">
        <v>61</v>
      </c>
      <c r="H13" s="7" t="s">
        <v>60</v>
      </c>
      <c r="I13" s="7" t="s">
        <v>60</v>
      </c>
      <c r="J13" s="7" t="s">
        <v>62</v>
      </c>
      <c r="K13" s="7" t="s">
        <v>63</v>
      </c>
      <c r="L13" s="7" t="s">
        <v>64</v>
      </c>
      <c r="M13" s="7" t="s">
        <v>65</v>
      </c>
      <c r="N13" s="7" t="s">
        <v>58</v>
      </c>
      <c r="O13" s="7" t="s">
        <v>67</v>
      </c>
      <c r="P13" s="7" t="s">
        <v>67</v>
      </c>
      <c r="Q13" s="7" t="s">
        <v>66</v>
      </c>
      <c r="R13" s="7" t="s">
        <v>67</v>
      </c>
      <c r="S13" s="7" t="s">
        <v>67</v>
      </c>
      <c r="T13" s="7" t="s">
        <v>67</v>
      </c>
      <c r="U13" s="7" t="s">
        <v>58</v>
      </c>
      <c r="V13" s="7" t="s">
        <v>67</v>
      </c>
      <c r="W13" s="7" t="s">
        <v>67</v>
      </c>
      <c r="X13" s="7" t="s">
        <v>67</v>
      </c>
      <c r="Y13" s="7" t="s">
        <v>67</v>
      </c>
      <c r="Z13" s="7" t="s">
        <v>67</v>
      </c>
      <c r="AA13" s="7" t="s">
        <v>66</v>
      </c>
      <c r="AB13" s="7" t="s">
        <v>67</v>
      </c>
      <c r="AC13" s="7" t="s">
        <v>67</v>
      </c>
      <c r="AD13" s="7" t="s">
        <v>66</v>
      </c>
      <c r="AE13" s="7" t="s">
        <v>67</v>
      </c>
      <c r="AF13" s="7" t="s">
        <v>67</v>
      </c>
      <c r="AG13" s="7" t="s">
        <v>67</v>
      </c>
      <c r="AH13" s="7" t="s">
        <v>67</v>
      </c>
      <c r="AI13" s="7" t="s">
        <v>72</v>
      </c>
      <c r="AJ13" s="7" t="s">
        <v>73</v>
      </c>
      <c r="AK13" s="7" t="s">
        <v>73</v>
      </c>
      <c r="AL13" s="7">
        <v>4.0</v>
      </c>
      <c r="AM13" s="7">
        <v>4.0</v>
      </c>
      <c r="AN13" s="7">
        <v>3.0</v>
      </c>
      <c r="AO13" s="7">
        <v>2.0</v>
      </c>
      <c r="AP13" s="7">
        <v>4.0</v>
      </c>
      <c r="AQ13" s="7">
        <v>4.0</v>
      </c>
      <c r="AR13" s="7">
        <v>2.0</v>
      </c>
      <c r="AS13" s="7">
        <v>4.0</v>
      </c>
      <c r="AT13" s="7">
        <v>1.0</v>
      </c>
      <c r="AU13" s="7">
        <v>5.0</v>
      </c>
      <c r="AV13" s="7">
        <v>3.0</v>
      </c>
      <c r="AW13" s="7">
        <v>5.0</v>
      </c>
      <c r="AX13" s="7">
        <v>1.0</v>
      </c>
      <c r="AY13" s="7">
        <v>5.0</v>
      </c>
      <c r="AZ13" s="7">
        <v>1.0</v>
      </c>
      <c r="BA13" s="7">
        <v>5.0</v>
      </c>
      <c r="BB13" s="7" t="s">
        <v>74</v>
      </c>
      <c r="BC13" s="7">
        <v>3.0</v>
      </c>
      <c r="BD13" s="7">
        <v>5.0</v>
      </c>
      <c r="BE13" s="7" t="s">
        <v>186</v>
      </c>
    </row>
    <row r="14" ht="22.5" customHeight="1">
      <c r="A14" s="6">
        <v>46027.44869774306</v>
      </c>
      <c r="B14" s="7" t="s">
        <v>57</v>
      </c>
      <c r="C14" s="7" t="s">
        <v>58</v>
      </c>
      <c r="D14" s="7" t="s">
        <v>58</v>
      </c>
      <c r="E14" s="7" t="s">
        <v>59</v>
      </c>
      <c r="F14" s="7" t="s">
        <v>60</v>
      </c>
      <c r="G14" s="7" t="s">
        <v>61</v>
      </c>
      <c r="H14" s="7" t="s">
        <v>60</v>
      </c>
      <c r="I14" s="7" t="s">
        <v>60</v>
      </c>
      <c r="J14" s="7" t="s">
        <v>62</v>
      </c>
      <c r="K14" s="7" t="s">
        <v>63</v>
      </c>
      <c r="L14" s="7" t="s">
        <v>64</v>
      </c>
      <c r="M14" s="7" t="s">
        <v>65</v>
      </c>
      <c r="N14" s="7" t="s">
        <v>67</v>
      </c>
      <c r="O14" s="7" t="s">
        <v>67</v>
      </c>
      <c r="P14" s="7" t="s">
        <v>67</v>
      </c>
      <c r="Q14" s="7" t="s">
        <v>66</v>
      </c>
      <c r="R14" s="7" t="s">
        <v>67</v>
      </c>
      <c r="S14" s="7" t="s">
        <v>67</v>
      </c>
      <c r="T14" s="7" t="s">
        <v>67</v>
      </c>
      <c r="U14" s="7" t="s">
        <v>67</v>
      </c>
      <c r="V14" s="7" t="s">
        <v>67</v>
      </c>
      <c r="W14" s="7" t="s">
        <v>67</v>
      </c>
      <c r="X14" s="7" t="s">
        <v>67</v>
      </c>
      <c r="Y14" s="7" t="s">
        <v>67</v>
      </c>
      <c r="Z14" s="7" t="s">
        <v>67</v>
      </c>
      <c r="AA14" s="7" t="s">
        <v>67</v>
      </c>
      <c r="AB14" s="7" t="s">
        <v>67</v>
      </c>
      <c r="AC14" s="7" t="s">
        <v>67</v>
      </c>
      <c r="AD14" s="7" t="s">
        <v>66</v>
      </c>
      <c r="AE14" s="7" t="s">
        <v>67</v>
      </c>
      <c r="AF14" s="7" t="s">
        <v>58</v>
      </c>
      <c r="AG14" s="7" t="s">
        <v>67</v>
      </c>
      <c r="AH14" s="7" t="s">
        <v>58</v>
      </c>
      <c r="AI14" s="7" t="s">
        <v>72</v>
      </c>
      <c r="AJ14" s="7" t="s">
        <v>73</v>
      </c>
      <c r="AK14" s="7" t="s">
        <v>73</v>
      </c>
      <c r="AL14" s="7">
        <v>4.0</v>
      </c>
      <c r="AM14" s="7">
        <v>3.0</v>
      </c>
      <c r="AN14" s="7">
        <v>2.0</v>
      </c>
      <c r="AO14" s="7">
        <v>2.0</v>
      </c>
      <c r="AP14" s="7">
        <v>3.0</v>
      </c>
      <c r="AQ14" s="7">
        <v>4.0</v>
      </c>
      <c r="AR14" s="7">
        <v>5.0</v>
      </c>
      <c r="AS14" s="7">
        <v>2.0</v>
      </c>
      <c r="AT14" s="7">
        <v>4.0</v>
      </c>
      <c r="AU14" s="7">
        <v>2.0</v>
      </c>
      <c r="AV14" s="7">
        <v>5.0</v>
      </c>
      <c r="AW14" s="7">
        <v>2.0</v>
      </c>
      <c r="AX14" s="7">
        <v>4.0</v>
      </c>
      <c r="AY14" s="7">
        <v>2.0</v>
      </c>
      <c r="AZ14" s="7">
        <v>4.0</v>
      </c>
      <c r="BA14" s="7">
        <v>2.0</v>
      </c>
      <c r="BB14" s="7" t="s">
        <v>70</v>
      </c>
      <c r="BC14" s="7">
        <v>6.0</v>
      </c>
      <c r="BD14" s="7">
        <v>7.0</v>
      </c>
      <c r="BE14" s="7" t="s">
        <v>187</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7.13"/>
    <col customWidth="1" min="6" max="48" width="37.63"/>
    <col customWidth="1" min="49" max="49" width="31.5"/>
    <col customWidth="1" min="50" max="53" width="37.63"/>
    <col customWidth="1" min="54" max="54" width="18.88"/>
    <col customWidth="1" min="55" max="56" width="37.63"/>
    <col customWidth="1" min="57" max="63"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25</v>
      </c>
      <c r="W1" s="3" t="s">
        <v>21</v>
      </c>
      <c r="X1" s="3" t="s">
        <v>22</v>
      </c>
      <c r="Y1" s="3" t="s">
        <v>23</v>
      </c>
      <c r="Z1" s="3" t="s">
        <v>24</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ht="22.5" customHeight="1">
      <c r="A2" s="4">
        <v>46020.70908865741</v>
      </c>
      <c r="B2" s="5" t="s">
        <v>57</v>
      </c>
      <c r="C2" s="5" t="s">
        <v>58</v>
      </c>
      <c r="D2" s="5" t="s">
        <v>58</v>
      </c>
      <c r="E2" s="5" t="s">
        <v>59</v>
      </c>
      <c r="F2" s="5" t="s">
        <v>60</v>
      </c>
      <c r="G2" s="5" t="s">
        <v>61</v>
      </c>
      <c r="H2" s="5" t="s">
        <v>60</v>
      </c>
      <c r="I2" s="5" t="s">
        <v>60</v>
      </c>
      <c r="J2" s="5" t="s">
        <v>62</v>
      </c>
      <c r="K2" s="5" t="s">
        <v>63</v>
      </c>
      <c r="L2" s="5" t="s">
        <v>64</v>
      </c>
      <c r="M2" s="5" t="s">
        <v>65</v>
      </c>
      <c r="N2" s="5" t="s">
        <v>58</v>
      </c>
      <c r="O2" s="5" t="s">
        <v>58</v>
      </c>
      <c r="P2" s="5" t="s">
        <v>66</v>
      </c>
      <c r="Q2" s="5" t="s">
        <v>67</v>
      </c>
      <c r="R2" s="5" t="s">
        <v>58</v>
      </c>
      <c r="S2" s="5" t="s">
        <v>58</v>
      </c>
      <c r="T2" s="5" t="s">
        <v>58</v>
      </c>
      <c r="U2" s="5" t="s">
        <v>58</v>
      </c>
      <c r="V2" s="5" t="s">
        <v>66</v>
      </c>
      <c r="W2" s="5" t="s">
        <v>67</v>
      </c>
      <c r="X2" s="5" t="s">
        <v>67</v>
      </c>
      <c r="Y2" s="5" t="s">
        <v>58</v>
      </c>
      <c r="Z2" s="5" t="s">
        <v>58</v>
      </c>
      <c r="AA2" s="5" t="s">
        <v>58</v>
      </c>
      <c r="AB2" s="5" t="s">
        <v>58</v>
      </c>
      <c r="AC2" s="5" t="s">
        <v>67</v>
      </c>
      <c r="AD2" s="5" t="s">
        <v>67</v>
      </c>
      <c r="AE2" s="5" t="s">
        <v>58</v>
      </c>
      <c r="AF2" s="5" t="s">
        <v>58</v>
      </c>
      <c r="AG2" s="5" t="s">
        <v>58</v>
      </c>
      <c r="AH2" s="5" t="s">
        <v>66</v>
      </c>
      <c r="AI2" s="5" t="s">
        <v>77</v>
      </c>
      <c r="AJ2" s="5" t="s">
        <v>69</v>
      </c>
      <c r="AK2" s="5" t="s">
        <v>69</v>
      </c>
      <c r="AL2" s="5">
        <v>4.0</v>
      </c>
      <c r="AM2" s="5">
        <v>4.0</v>
      </c>
      <c r="AN2" s="5">
        <v>1.0</v>
      </c>
      <c r="AO2" s="5">
        <v>2.0</v>
      </c>
      <c r="AP2" s="5">
        <v>4.0</v>
      </c>
      <c r="AQ2" s="5">
        <v>4.0</v>
      </c>
      <c r="AR2" s="5">
        <v>4.0</v>
      </c>
      <c r="AS2" s="5">
        <v>2.0</v>
      </c>
      <c r="AT2" s="5">
        <v>3.0</v>
      </c>
      <c r="AU2" s="5">
        <v>1.0</v>
      </c>
      <c r="AV2" s="5">
        <v>5.0</v>
      </c>
      <c r="AW2" s="5">
        <v>2.0</v>
      </c>
      <c r="AX2" s="5">
        <v>4.0</v>
      </c>
      <c r="AY2" s="5">
        <v>3.0</v>
      </c>
      <c r="AZ2" s="5">
        <v>1.0</v>
      </c>
      <c r="BA2" s="5">
        <v>1.0</v>
      </c>
      <c r="BB2" s="5" t="s">
        <v>74</v>
      </c>
      <c r="BC2" s="5">
        <v>6.0</v>
      </c>
      <c r="BD2" s="5">
        <v>7.0</v>
      </c>
      <c r="BE2" s="5" t="s">
        <v>188</v>
      </c>
    </row>
    <row r="3" ht="22.5" customHeight="1">
      <c r="A3" s="4">
        <v>46020.97980061342</v>
      </c>
      <c r="B3" s="5" t="s">
        <v>57</v>
      </c>
      <c r="C3" s="5" t="s">
        <v>58</v>
      </c>
      <c r="D3" s="5" t="s">
        <v>58</v>
      </c>
      <c r="E3" s="5" t="s">
        <v>59</v>
      </c>
      <c r="F3" s="5" t="s">
        <v>60</v>
      </c>
      <c r="G3" s="5" t="s">
        <v>61</v>
      </c>
      <c r="H3" s="5" t="s">
        <v>60</v>
      </c>
      <c r="I3" s="5" t="s">
        <v>60</v>
      </c>
      <c r="J3" s="5" t="s">
        <v>62</v>
      </c>
      <c r="K3" s="5" t="s">
        <v>63</v>
      </c>
      <c r="L3" s="5" t="s">
        <v>64</v>
      </c>
      <c r="M3" s="5" t="s">
        <v>65</v>
      </c>
      <c r="N3" s="5" t="s">
        <v>58</v>
      </c>
      <c r="O3" s="5" t="s">
        <v>58</v>
      </c>
      <c r="P3" s="5" t="s">
        <v>66</v>
      </c>
      <c r="Q3" s="5" t="s">
        <v>67</v>
      </c>
      <c r="R3" s="5" t="s">
        <v>58</v>
      </c>
      <c r="S3" s="5" t="s">
        <v>58</v>
      </c>
      <c r="T3" s="5" t="s">
        <v>58</v>
      </c>
      <c r="U3" s="5" t="s">
        <v>58</v>
      </c>
      <c r="V3" s="5" t="s">
        <v>66</v>
      </c>
      <c r="W3" s="5" t="s">
        <v>67</v>
      </c>
      <c r="X3" s="5" t="s">
        <v>58</v>
      </c>
      <c r="Y3" s="5" t="s">
        <v>58</v>
      </c>
      <c r="Z3" s="5" t="s">
        <v>58</v>
      </c>
      <c r="AA3" s="5" t="s">
        <v>58</v>
      </c>
      <c r="AB3" s="5" t="s">
        <v>58</v>
      </c>
      <c r="AC3" s="5" t="s">
        <v>58</v>
      </c>
      <c r="AD3" s="5" t="s">
        <v>67</v>
      </c>
      <c r="AE3" s="5" t="s">
        <v>58</v>
      </c>
      <c r="AF3" s="5" t="s">
        <v>58</v>
      </c>
      <c r="AG3" s="5" t="s">
        <v>58</v>
      </c>
      <c r="AH3" s="5" t="s">
        <v>66</v>
      </c>
      <c r="AI3" s="5" t="s">
        <v>68</v>
      </c>
      <c r="AJ3" s="5" t="s">
        <v>68</v>
      </c>
      <c r="AK3" s="5" t="s">
        <v>68</v>
      </c>
      <c r="AL3" s="5">
        <v>3.0</v>
      </c>
      <c r="AM3" s="5">
        <v>4.0</v>
      </c>
      <c r="AN3" s="5">
        <v>2.0</v>
      </c>
      <c r="AO3" s="5">
        <v>2.0</v>
      </c>
      <c r="AP3" s="5">
        <v>4.0</v>
      </c>
      <c r="AQ3" s="5">
        <v>3.0</v>
      </c>
      <c r="AR3" s="5">
        <v>5.0</v>
      </c>
      <c r="AS3" s="5">
        <v>5.0</v>
      </c>
      <c r="AT3" s="5">
        <v>1.0</v>
      </c>
      <c r="AU3" s="5">
        <v>4.0</v>
      </c>
      <c r="AV3" s="5">
        <v>1.0</v>
      </c>
      <c r="AW3" s="5">
        <v>5.0</v>
      </c>
      <c r="AX3" s="5">
        <v>1.0</v>
      </c>
      <c r="AY3" s="5">
        <v>5.0</v>
      </c>
      <c r="AZ3" s="5">
        <v>1.0</v>
      </c>
      <c r="BA3" s="5">
        <v>5.0</v>
      </c>
      <c r="BB3" s="5" t="s">
        <v>70</v>
      </c>
      <c r="BC3" s="5">
        <v>1.0</v>
      </c>
      <c r="BD3" s="5">
        <v>3.0</v>
      </c>
      <c r="BE3" s="5" t="s">
        <v>189</v>
      </c>
    </row>
    <row r="4" ht="22.5" customHeight="1">
      <c r="A4" s="4">
        <v>46021.61974974537</v>
      </c>
      <c r="B4" s="5" t="s">
        <v>57</v>
      </c>
      <c r="C4" s="5" t="s">
        <v>58</v>
      </c>
      <c r="D4" s="5" t="s">
        <v>58</v>
      </c>
      <c r="E4" s="5" t="s">
        <v>59</v>
      </c>
      <c r="F4" s="5" t="s">
        <v>60</v>
      </c>
      <c r="G4" s="5" t="s">
        <v>61</v>
      </c>
      <c r="H4" s="5" t="s">
        <v>60</v>
      </c>
      <c r="I4" s="5" t="s">
        <v>60</v>
      </c>
      <c r="J4" s="5" t="s">
        <v>62</v>
      </c>
      <c r="K4" s="5" t="s">
        <v>63</v>
      </c>
      <c r="L4" s="5" t="s">
        <v>97</v>
      </c>
      <c r="M4" s="5" t="s">
        <v>97</v>
      </c>
      <c r="N4" s="5" t="s">
        <v>58</v>
      </c>
      <c r="O4" s="5" t="s">
        <v>67</v>
      </c>
      <c r="P4" s="5" t="s">
        <v>67</v>
      </c>
      <c r="Q4" s="5" t="s">
        <v>67</v>
      </c>
      <c r="R4" s="5" t="s">
        <v>58</v>
      </c>
      <c r="S4" s="5" t="s">
        <v>58</v>
      </c>
      <c r="T4" s="5" t="s">
        <v>58</v>
      </c>
      <c r="U4" s="5" t="s">
        <v>58</v>
      </c>
      <c r="V4" s="5" t="s">
        <v>58</v>
      </c>
      <c r="W4" s="5" t="s">
        <v>67</v>
      </c>
      <c r="X4" s="5" t="s">
        <v>58</v>
      </c>
      <c r="Y4" s="5" t="s">
        <v>58</v>
      </c>
      <c r="Z4" s="5" t="s">
        <v>58</v>
      </c>
      <c r="AA4" s="5" t="s">
        <v>67</v>
      </c>
      <c r="AB4" s="5" t="s">
        <v>67</v>
      </c>
      <c r="AC4" s="5" t="s">
        <v>58</v>
      </c>
      <c r="AD4" s="5" t="s">
        <v>67</v>
      </c>
      <c r="AE4" s="5" t="s">
        <v>58</v>
      </c>
      <c r="AF4" s="5" t="s">
        <v>67</v>
      </c>
      <c r="AG4" s="5" t="s">
        <v>58</v>
      </c>
      <c r="AH4" s="5" t="s">
        <v>58</v>
      </c>
      <c r="AI4" s="5" t="s">
        <v>72</v>
      </c>
      <c r="AJ4" s="5" t="s">
        <v>69</v>
      </c>
      <c r="AK4" s="5" t="s">
        <v>69</v>
      </c>
      <c r="AL4" s="5">
        <v>5.0</v>
      </c>
      <c r="AM4" s="5">
        <v>4.0</v>
      </c>
      <c r="AN4" s="5">
        <v>1.0</v>
      </c>
      <c r="AO4" s="5">
        <v>2.0</v>
      </c>
      <c r="AP4" s="5">
        <v>4.0</v>
      </c>
      <c r="AQ4" s="5">
        <v>5.0</v>
      </c>
      <c r="AR4" s="5">
        <v>4.0</v>
      </c>
      <c r="AS4" s="5">
        <v>4.0</v>
      </c>
      <c r="AT4" s="5">
        <v>1.0</v>
      </c>
      <c r="AU4" s="5">
        <v>4.0</v>
      </c>
      <c r="AV4" s="5">
        <v>3.0</v>
      </c>
      <c r="AW4" s="5">
        <v>4.0</v>
      </c>
      <c r="AX4" s="5">
        <v>4.0</v>
      </c>
      <c r="AY4" s="5">
        <v>4.0</v>
      </c>
      <c r="AZ4" s="5">
        <v>2.0</v>
      </c>
      <c r="BA4" s="5">
        <v>4.0</v>
      </c>
      <c r="BB4" s="5" t="s">
        <v>74</v>
      </c>
      <c r="BC4" s="5">
        <v>5.0</v>
      </c>
      <c r="BD4" s="5">
        <v>4.0</v>
      </c>
      <c r="BE4" s="5" t="s">
        <v>190</v>
      </c>
    </row>
    <row r="5" ht="22.5" customHeight="1">
      <c r="A5" s="6">
        <v>46022.71022204861</v>
      </c>
      <c r="B5" s="7" t="s">
        <v>57</v>
      </c>
      <c r="C5" s="7" t="s">
        <v>58</v>
      </c>
      <c r="D5" s="7" t="s">
        <v>58</v>
      </c>
      <c r="E5" s="7" t="s">
        <v>59</v>
      </c>
      <c r="F5" s="7" t="s">
        <v>60</v>
      </c>
      <c r="G5" s="7" t="s">
        <v>61</v>
      </c>
      <c r="H5" s="7" t="s">
        <v>60</v>
      </c>
      <c r="I5" s="7" t="s">
        <v>60</v>
      </c>
      <c r="J5" s="7" t="s">
        <v>62</v>
      </c>
      <c r="K5" s="7" t="s">
        <v>63</v>
      </c>
      <c r="L5" s="7" t="s">
        <v>64</v>
      </c>
      <c r="M5" s="7" t="s">
        <v>65</v>
      </c>
      <c r="N5" s="7" t="s">
        <v>58</v>
      </c>
      <c r="O5" s="7" t="s">
        <v>58</v>
      </c>
      <c r="P5" s="7" t="s">
        <v>58</v>
      </c>
      <c r="Q5" s="7" t="s">
        <v>58</v>
      </c>
      <c r="R5" s="7" t="s">
        <v>58</v>
      </c>
      <c r="S5" s="7" t="s">
        <v>58</v>
      </c>
      <c r="T5" s="7" t="s">
        <v>58</v>
      </c>
      <c r="U5" s="7" t="s">
        <v>58</v>
      </c>
      <c r="V5" s="7" t="s">
        <v>66</v>
      </c>
      <c r="W5" s="7" t="s">
        <v>58</v>
      </c>
      <c r="X5" s="7" t="s">
        <v>58</v>
      </c>
      <c r="Y5" s="7" t="s">
        <v>58</v>
      </c>
      <c r="Z5" s="7" t="s">
        <v>58</v>
      </c>
      <c r="AA5" s="7" t="s">
        <v>58</v>
      </c>
      <c r="AB5" s="7" t="s">
        <v>58</v>
      </c>
      <c r="AC5" s="7" t="s">
        <v>58</v>
      </c>
      <c r="AD5" s="7" t="s">
        <v>58</v>
      </c>
      <c r="AE5" s="7" t="s">
        <v>58</v>
      </c>
      <c r="AF5" s="7" t="s">
        <v>58</v>
      </c>
      <c r="AG5" s="7" t="s">
        <v>58</v>
      </c>
      <c r="AH5" s="7" t="s">
        <v>66</v>
      </c>
      <c r="AI5" s="7" t="s">
        <v>77</v>
      </c>
      <c r="AJ5" s="7" t="s">
        <v>69</v>
      </c>
      <c r="AK5" s="7" t="s">
        <v>69</v>
      </c>
      <c r="AL5" s="7">
        <v>2.0</v>
      </c>
      <c r="AM5" s="7">
        <v>4.0</v>
      </c>
      <c r="AN5" s="7">
        <v>2.0</v>
      </c>
      <c r="AO5" s="7">
        <v>3.0</v>
      </c>
      <c r="AP5" s="7">
        <v>4.0</v>
      </c>
      <c r="AQ5" s="7">
        <v>3.0</v>
      </c>
      <c r="AR5" s="7">
        <v>2.0</v>
      </c>
      <c r="AS5" s="7">
        <v>5.0</v>
      </c>
      <c r="AT5" s="7">
        <v>1.0</v>
      </c>
      <c r="AU5" s="7">
        <v>5.0</v>
      </c>
      <c r="AV5" s="7">
        <v>3.0</v>
      </c>
      <c r="AW5" s="7">
        <v>5.0</v>
      </c>
      <c r="AX5" s="7">
        <v>3.0</v>
      </c>
      <c r="AY5" s="7">
        <v>3.0</v>
      </c>
      <c r="AZ5" s="7">
        <v>2.0</v>
      </c>
      <c r="BA5" s="7">
        <v>5.0</v>
      </c>
      <c r="BB5" s="7" t="s">
        <v>74</v>
      </c>
      <c r="BC5" s="7">
        <v>5.0</v>
      </c>
      <c r="BD5" s="7">
        <v>4.0</v>
      </c>
      <c r="BE5" s="7" t="s">
        <v>191</v>
      </c>
    </row>
    <row r="6" ht="22.5" customHeight="1">
      <c r="A6" s="6">
        <v>46022.73186646991</v>
      </c>
      <c r="B6" s="7" t="s">
        <v>57</v>
      </c>
      <c r="C6" s="7" t="s">
        <v>58</v>
      </c>
      <c r="D6" s="7" t="s">
        <v>58</v>
      </c>
      <c r="E6" s="7" t="s">
        <v>59</v>
      </c>
      <c r="F6" s="7" t="s">
        <v>60</v>
      </c>
      <c r="G6" s="7" t="s">
        <v>61</v>
      </c>
      <c r="H6" s="7" t="s">
        <v>60</v>
      </c>
      <c r="I6" s="7" t="s">
        <v>60</v>
      </c>
      <c r="J6" s="7" t="s">
        <v>62</v>
      </c>
      <c r="K6" s="7" t="s">
        <v>63</v>
      </c>
      <c r="L6" s="7" t="s">
        <v>64</v>
      </c>
      <c r="M6" s="7" t="s">
        <v>65</v>
      </c>
      <c r="N6" s="7" t="s">
        <v>58</v>
      </c>
      <c r="O6" s="7" t="s">
        <v>58</v>
      </c>
      <c r="P6" s="7" t="s">
        <v>66</v>
      </c>
      <c r="Q6" s="7" t="s">
        <v>58</v>
      </c>
      <c r="R6" s="7" t="s">
        <v>58</v>
      </c>
      <c r="S6" s="7" t="s">
        <v>58</v>
      </c>
      <c r="T6" s="7" t="s">
        <v>58</v>
      </c>
      <c r="U6" s="7" t="s">
        <v>58</v>
      </c>
      <c r="V6" s="7" t="s">
        <v>66</v>
      </c>
      <c r="W6" s="7" t="s">
        <v>58</v>
      </c>
      <c r="X6" s="7" t="s">
        <v>58</v>
      </c>
      <c r="Y6" s="7" t="s">
        <v>58</v>
      </c>
      <c r="Z6" s="7" t="s">
        <v>58</v>
      </c>
      <c r="AA6" s="7" t="s">
        <v>58</v>
      </c>
      <c r="AB6" s="7" t="s">
        <v>58</v>
      </c>
      <c r="AC6" s="7" t="s">
        <v>58</v>
      </c>
      <c r="AD6" s="7" t="s">
        <v>58</v>
      </c>
      <c r="AE6" s="7" t="s">
        <v>58</v>
      </c>
      <c r="AF6" s="7" t="s">
        <v>58</v>
      </c>
      <c r="AG6" s="7" t="s">
        <v>58</v>
      </c>
      <c r="AH6" s="7" t="s">
        <v>66</v>
      </c>
      <c r="AI6" s="7" t="s">
        <v>72</v>
      </c>
      <c r="AJ6" s="7" t="s">
        <v>73</v>
      </c>
      <c r="AK6" s="7" t="s">
        <v>68</v>
      </c>
      <c r="AL6" s="7">
        <v>3.0</v>
      </c>
      <c r="AM6" s="7">
        <v>5.0</v>
      </c>
      <c r="AN6" s="7">
        <v>2.0</v>
      </c>
      <c r="AO6" s="7">
        <v>1.0</v>
      </c>
      <c r="AP6" s="7">
        <v>4.0</v>
      </c>
      <c r="AQ6" s="7">
        <v>4.0</v>
      </c>
      <c r="AR6" s="7">
        <v>3.0</v>
      </c>
      <c r="AS6" s="7">
        <v>5.0</v>
      </c>
      <c r="AT6" s="7">
        <v>1.0</v>
      </c>
      <c r="AU6" s="7">
        <v>5.0</v>
      </c>
      <c r="AV6" s="7">
        <v>1.0</v>
      </c>
      <c r="AW6" s="7">
        <v>5.0</v>
      </c>
      <c r="AX6" s="7">
        <v>1.0</v>
      </c>
      <c r="AY6" s="7">
        <v>3.0</v>
      </c>
      <c r="AZ6" s="7">
        <v>1.0</v>
      </c>
      <c r="BA6" s="7">
        <v>5.0</v>
      </c>
      <c r="BB6" s="7" t="s">
        <v>70</v>
      </c>
      <c r="BC6" s="7">
        <v>4.0</v>
      </c>
      <c r="BD6" s="7">
        <v>5.0</v>
      </c>
      <c r="BE6" s="7" t="s">
        <v>192</v>
      </c>
    </row>
    <row r="7" ht="22.5" customHeight="1">
      <c r="A7" s="6">
        <v>46024.230581145835</v>
      </c>
      <c r="B7" s="7" t="s">
        <v>57</v>
      </c>
      <c r="C7" s="7" t="s">
        <v>58</v>
      </c>
      <c r="D7" s="7" t="s">
        <v>58</v>
      </c>
      <c r="E7" s="7" t="s">
        <v>59</v>
      </c>
      <c r="F7" s="7" t="s">
        <v>60</v>
      </c>
      <c r="G7" s="7" t="s">
        <v>61</v>
      </c>
      <c r="H7" s="7" t="s">
        <v>60</v>
      </c>
      <c r="I7" s="7" t="s">
        <v>60</v>
      </c>
      <c r="J7" s="7" t="s">
        <v>62</v>
      </c>
      <c r="K7" s="7" t="s">
        <v>63</v>
      </c>
      <c r="L7" s="7" t="s">
        <v>64</v>
      </c>
      <c r="M7" s="7" t="s">
        <v>65</v>
      </c>
      <c r="N7" s="7" t="s">
        <v>58</v>
      </c>
      <c r="O7" s="7" t="s">
        <v>58</v>
      </c>
      <c r="P7" s="7" t="s">
        <v>66</v>
      </c>
      <c r="Q7" s="7" t="s">
        <v>58</v>
      </c>
      <c r="R7" s="7" t="s">
        <v>58</v>
      </c>
      <c r="S7" s="7" t="s">
        <v>58</v>
      </c>
      <c r="T7" s="7" t="s">
        <v>58</v>
      </c>
      <c r="U7" s="7" t="s">
        <v>58</v>
      </c>
      <c r="V7" s="7" t="s">
        <v>66</v>
      </c>
      <c r="W7" s="7" t="s">
        <v>58</v>
      </c>
      <c r="X7" s="7" t="s">
        <v>58</v>
      </c>
      <c r="Y7" s="7" t="s">
        <v>58</v>
      </c>
      <c r="Z7" s="7" t="s">
        <v>58</v>
      </c>
      <c r="AA7" s="7" t="s">
        <v>58</v>
      </c>
      <c r="AB7" s="7" t="s">
        <v>58</v>
      </c>
      <c r="AC7" s="7" t="s">
        <v>58</v>
      </c>
      <c r="AD7" s="7" t="s">
        <v>58</v>
      </c>
      <c r="AE7" s="7" t="s">
        <v>58</v>
      </c>
      <c r="AF7" s="7" t="s">
        <v>58</v>
      </c>
      <c r="AG7" s="7" t="s">
        <v>58</v>
      </c>
      <c r="AH7" s="7" t="s">
        <v>66</v>
      </c>
      <c r="AI7" s="7" t="s">
        <v>77</v>
      </c>
      <c r="AJ7" s="7" t="s">
        <v>69</v>
      </c>
      <c r="AK7" s="7" t="s">
        <v>69</v>
      </c>
      <c r="AL7" s="7">
        <v>3.0</v>
      </c>
      <c r="AM7" s="7">
        <v>3.0</v>
      </c>
      <c r="AN7" s="7">
        <v>2.0</v>
      </c>
      <c r="AO7" s="7">
        <v>4.0</v>
      </c>
      <c r="AP7" s="7">
        <v>3.0</v>
      </c>
      <c r="AQ7" s="7">
        <v>3.0</v>
      </c>
      <c r="AR7" s="7">
        <v>2.0</v>
      </c>
      <c r="AS7" s="7">
        <v>5.0</v>
      </c>
      <c r="AT7" s="7">
        <v>1.0</v>
      </c>
      <c r="AU7" s="7">
        <v>2.0</v>
      </c>
      <c r="AV7" s="7">
        <v>5.0</v>
      </c>
      <c r="AW7" s="7">
        <v>3.0</v>
      </c>
      <c r="AX7" s="7">
        <v>5.0</v>
      </c>
      <c r="AY7" s="7">
        <v>3.0</v>
      </c>
      <c r="AZ7" s="7">
        <v>2.0</v>
      </c>
      <c r="BA7" s="7">
        <v>4.0</v>
      </c>
      <c r="BB7" s="7" t="s">
        <v>70</v>
      </c>
      <c r="BC7" s="7">
        <v>5.0</v>
      </c>
      <c r="BD7" s="7">
        <v>5.0</v>
      </c>
      <c r="BE7" s="7" t="s">
        <v>193</v>
      </c>
    </row>
    <row r="8" ht="22.5" customHeight="1">
      <c r="A8" s="6">
        <v>46024.56903130787</v>
      </c>
      <c r="B8" s="7" t="s">
        <v>57</v>
      </c>
      <c r="C8" s="7" t="s">
        <v>58</v>
      </c>
      <c r="D8" s="7" t="s">
        <v>58</v>
      </c>
      <c r="E8" s="7" t="s">
        <v>59</v>
      </c>
      <c r="F8" s="7" t="s">
        <v>60</v>
      </c>
      <c r="G8" s="7" t="s">
        <v>61</v>
      </c>
      <c r="H8" s="7" t="s">
        <v>60</v>
      </c>
      <c r="I8" s="7" t="s">
        <v>60</v>
      </c>
      <c r="J8" s="7" t="s">
        <v>62</v>
      </c>
      <c r="K8" s="7" t="s">
        <v>63</v>
      </c>
      <c r="L8" s="7" t="s">
        <v>64</v>
      </c>
      <c r="M8" s="7" t="s">
        <v>65</v>
      </c>
      <c r="N8" s="7" t="s">
        <v>58</v>
      </c>
      <c r="O8" s="7" t="s">
        <v>67</v>
      </c>
      <c r="P8" s="7" t="s">
        <v>58</v>
      </c>
      <c r="Q8" s="7" t="s">
        <v>67</v>
      </c>
      <c r="R8" s="7" t="s">
        <v>58</v>
      </c>
      <c r="S8" s="7" t="s">
        <v>58</v>
      </c>
      <c r="T8" s="7" t="s">
        <v>58</v>
      </c>
      <c r="U8" s="7" t="s">
        <v>58</v>
      </c>
      <c r="V8" s="7" t="s">
        <v>67</v>
      </c>
      <c r="W8" s="7" t="s">
        <v>67</v>
      </c>
      <c r="X8" s="7" t="s">
        <v>67</v>
      </c>
      <c r="Y8" s="7" t="s">
        <v>67</v>
      </c>
      <c r="Z8" s="7" t="s">
        <v>67</v>
      </c>
      <c r="AA8" s="7" t="s">
        <v>67</v>
      </c>
      <c r="AB8" s="7" t="s">
        <v>67</v>
      </c>
      <c r="AC8" s="7" t="s">
        <v>67</v>
      </c>
      <c r="AD8" s="7" t="s">
        <v>67</v>
      </c>
      <c r="AE8" s="7" t="s">
        <v>67</v>
      </c>
      <c r="AF8" s="7" t="s">
        <v>67</v>
      </c>
      <c r="AG8" s="7" t="s">
        <v>67</v>
      </c>
      <c r="AH8" s="7" t="s">
        <v>66</v>
      </c>
      <c r="AI8" s="7" t="s">
        <v>68</v>
      </c>
      <c r="AJ8" s="7" t="s">
        <v>68</v>
      </c>
      <c r="AK8" s="7" t="s">
        <v>68</v>
      </c>
      <c r="AL8" s="7">
        <v>4.0</v>
      </c>
      <c r="AM8" s="7">
        <v>4.0</v>
      </c>
      <c r="AN8" s="7">
        <v>2.0</v>
      </c>
      <c r="AO8" s="7">
        <v>2.0</v>
      </c>
      <c r="AP8" s="7">
        <v>4.0</v>
      </c>
      <c r="AQ8" s="7">
        <v>3.0</v>
      </c>
      <c r="AR8" s="7">
        <v>1.0</v>
      </c>
      <c r="AS8" s="7">
        <v>4.0</v>
      </c>
      <c r="AT8" s="7">
        <v>1.0</v>
      </c>
      <c r="AU8" s="7">
        <v>4.0</v>
      </c>
      <c r="AV8" s="7">
        <v>1.0</v>
      </c>
      <c r="AW8" s="7">
        <v>5.0</v>
      </c>
      <c r="AX8" s="7">
        <v>1.0</v>
      </c>
      <c r="AY8" s="7">
        <v>5.0</v>
      </c>
      <c r="AZ8" s="7">
        <v>1.0</v>
      </c>
      <c r="BA8" s="7">
        <v>4.0</v>
      </c>
      <c r="BB8" s="7" t="s">
        <v>70</v>
      </c>
      <c r="BC8" s="7">
        <v>2.0</v>
      </c>
      <c r="BD8" s="7">
        <v>7.0</v>
      </c>
      <c r="BE8" s="7" t="s">
        <v>194</v>
      </c>
    </row>
    <row r="9" ht="22.5" customHeight="1">
      <c r="A9" s="6">
        <v>46024.660091122685</v>
      </c>
      <c r="B9" s="7" t="s">
        <v>57</v>
      </c>
      <c r="C9" s="7" t="s">
        <v>58</v>
      </c>
      <c r="D9" s="7" t="s">
        <v>58</v>
      </c>
      <c r="E9" s="7" t="s">
        <v>59</v>
      </c>
      <c r="F9" s="7" t="s">
        <v>60</v>
      </c>
      <c r="G9" s="7" t="s">
        <v>61</v>
      </c>
      <c r="H9" s="7" t="s">
        <v>60</v>
      </c>
      <c r="I9" s="7" t="s">
        <v>60</v>
      </c>
      <c r="J9" s="7" t="s">
        <v>62</v>
      </c>
      <c r="K9" s="7" t="s">
        <v>63</v>
      </c>
      <c r="L9" s="7" t="s">
        <v>64</v>
      </c>
      <c r="M9" s="7" t="s">
        <v>65</v>
      </c>
      <c r="N9" s="7" t="s">
        <v>58</v>
      </c>
      <c r="O9" s="7" t="s">
        <v>58</v>
      </c>
      <c r="P9" s="7" t="s">
        <v>66</v>
      </c>
      <c r="Q9" s="7" t="s">
        <v>67</v>
      </c>
      <c r="R9" s="7" t="s">
        <v>58</v>
      </c>
      <c r="S9" s="7" t="s">
        <v>58</v>
      </c>
      <c r="T9" s="7" t="s">
        <v>58</v>
      </c>
      <c r="U9" s="7" t="s">
        <v>58</v>
      </c>
      <c r="V9" s="7" t="s">
        <v>66</v>
      </c>
      <c r="W9" s="7" t="s">
        <v>58</v>
      </c>
      <c r="X9" s="7" t="s">
        <v>58</v>
      </c>
      <c r="Y9" s="7" t="s">
        <v>58</v>
      </c>
      <c r="Z9" s="7" t="s">
        <v>58</v>
      </c>
      <c r="AA9" s="7" t="s">
        <v>58</v>
      </c>
      <c r="AB9" s="7" t="s">
        <v>58</v>
      </c>
      <c r="AC9" s="7" t="s">
        <v>67</v>
      </c>
      <c r="AD9" s="7" t="s">
        <v>67</v>
      </c>
      <c r="AE9" s="7" t="s">
        <v>67</v>
      </c>
      <c r="AF9" s="7" t="s">
        <v>58</v>
      </c>
      <c r="AG9" s="7" t="s">
        <v>67</v>
      </c>
      <c r="AH9" s="7" t="s">
        <v>66</v>
      </c>
      <c r="AI9" s="7" t="s">
        <v>77</v>
      </c>
      <c r="AJ9" s="7" t="s">
        <v>68</v>
      </c>
      <c r="AK9" s="7" t="s">
        <v>68</v>
      </c>
      <c r="AL9" s="7">
        <v>4.0</v>
      </c>
      <c r="AM9" s="7">
        <v>3.0</v>
      </c>
      <c r="AN9" s="7">
        <v>1.0</v>
      </c>
      <c r="AO9" s="7">
        <v>1.0</v>
      </c>
      <c r="AP9" s="7">
        <v>4.0</v>
      </c>
      <c r="AQ9" s="7">
        <v>4.0</v>
      </c>
      <c r="AR9" s="7">
        <v>3.0</v>
      </c>
      <c r="AS9" s="7">
        <v>4.0</v>
      </c>
      <c r="AT9" s="7">
        <v>2.0</v>
      </c>
      <c r="AU9" s="7">
        <v>4.0</v>
      </c>
      <c r="AV9" s="7">
        <v>4.0</v>
      </c>
      <c r="AW9" s="7">
        <v>4.0</v>
      </c>
      <c r="AX9" s="7">
        <v>2.0</v>
      </c>
      <c r="AY9" s="7">
        <v>4.0</v>
      </c>
      <c r="AZ9" s="7">
        <v>2.0</v>
      </c>
      <c r="BA9" s="7">
        <v>4.0</v>
      </c>
      <c r="BB9" s="7" t="s">
        <v>70</v>
      </c>
      <c r="BC9" s="7">
        <v>5.0</v>
      </c>
      <c r="BD9" s="7">
        <v>6.0</v>
      </c>
      <c r="BE9" s="7" t="s">
        <v>195</v>
      </c>
    </row>
    <row r="10" ht="22.5" customHeight="1">
      <c r="A10" s="6">
        <v>46024.814336875</v>
      </c>
      <c r="B10" s="7" t="s">
        <v>57</v>
      </c>
      <c r="C10" s="7" t="s">
        <v>58</v>
      </c>
      <c r="D10" s="7" t="s">
        <v>58</v>
      </c>
      <c r="E10" s="7" t="s">
        <v>59</v>
      </c>
      <c r="F10" s="7" t="s">
        <v>60</v>
      </c>
      <c r="G10" s="7" t="s">
        <v>61</v>
      </c>
      <c r="H10" s="7" t="s">
        <v>60</v>
      </c>
      <c r="I10" s="7" t="s">
        <v>60</v>
      </c>
      <c r="J10" s="7" t="s">
        <v>62</v>
      </c>
      <c r="K10" s="7" t="s">
        <v>63</v>
      </c>
      <c r="L10" s="7" t="s">
        <v>64</v>
      </c>
      <c r="M10" s="7" t="s">
        <v>65</v>
      </c>
      <c r="N10" s="7" t="s">
        <v>58</v>
      </c>
      <c r="O10" s="7" t="s">
        <v>58</v>
      </c>
      <c r="P10" s="7" t="s">
        <v>66</v>
      </c>
      <c r="Q10" s="7" t="s">
        <v>58</v>
      </c>
      <c r="R10" s="7" t="s">
        <v>58</v>
      </c>
      <c r="S10" s="7" t="s">
        <v>58</v>
      </c>
      <c r="T10" s="7" t="s">
        <v>58</v>
      </c>
      <c r="U10" s="7" t="s">
        <v>58</v>
      </c>
      <c r="V10" s="7" t="s">
        <v>66</v>
      </c>
      <c r="W10" s="7" t="s">
        <v>58</v>
      </c>
      <c r="X10" s="7" t="s">
        <v>58</v>
      </c>
      <c r="Y10" s="7" t="s">
        <v>58</v>
      </c>
      <c r="Z10" s="7" t="s">
        <v>58</v>
      </c>
      <c r="AA10" s="7" t="s">
        <v>58</v>
      </c>
      <c r="AB10" s="7" t="s">
        <v>58</v>
      </c>
      <c r="AC10" s="7" t="s">
        <v>58</v>
      </c>
      <c r="AD10" s="7" t="s">
        <v>58</v>
      </c>
      <c r="AE10" s="7" t="s">
        <v>58</v>
      </c>
      <c r="AF10" s="7" t="s">
        <v>58</v>
      </c>
      <c r="AG10" s="7" t="s">
        <v>58</v>
      </c>
      <c r="AH10" s="7" t="s">
        <v>66</v>
      </c>
      <c r="AI10" s="7" t="s">
        <v>77</v>
      </c>
      <c r="AJ10" s="7" t="s">
        <v>69</v>
      </c>
      <c r="AK10" s="7" t="s">
        <v>69</v>
      </c>
      <c r="AL10" s="7">
        <v>3.0</v>
      </c>
      <c r="AM10" s="7">
        <v>4.0</v>
      </c>
      <c r="AN10" s="7">
        <v>1.0</v>
      </c>
      <c r="AO10" s="7">
        <v>1.0</v>
      </c>
      <c r="AP10" s="7">
        <v>4.0</v>
      </c>
      <c r="AQ10" s="7">
        <v>5.0</v>
      </c>
      <c r="AR10" s="7">
        <v>1.0</v>
      </c>
      <c r="AS10" s="7">
        <v>5.0</v>
      </c>
      <c r="AT10" s="7">
        <v>1.0</v>
      </c>
      <c r="AU10" s="7">
        <v>5.0</v>
      </c>
      <c r="AV10" s="7">
        <v>1.0</v>
      </c>
      <c r="AW10" s="7">
        <v>5.0</v>
      </c>
      <c r="AX10" s="7">
        <v>1.0</v>
      </c>
      <c r="AY10" s="7">
        <v>5.0</v>
      </c>
      <c r="AZ10" s="7">
        <v>1.0</v>
      </c>
      <c r="BA10" s="7">
        <v>3.0</v>
      </c>
      <c r="BB10" s="7" t="s">
        <v>70</v>
      </c>
      <c r="BC10" s="7">
        <v>4.0</v>
      </c>
      <c r="BD10" s="7">
        <v>5.0</v>
      </c>
      <c r="BE10" s="7" t="s">
        <v>196</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7.13"/>
    <col customWidth="1" min="6" max="48" width="37.63"/>
    <col customWidth="1" min="49" max="49" width="31.5"/>
    <col customWidth="1" min="50" max="53" width="37.63"/>
    <col customWidth="1" min="54" max="54" width="18.88"/>
    <col customWidth="1" min="55" max="56" width="37.63"/>
    <col customWidth="1" min="57" max="63"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15</v>
      </c>
      <c r="P1" s="3" t="s">
        <v>14</v>
      </c>
      <c r="Q1" s="3" t="s">
        <v>16</v>
      </c>
      <c r="R1" s="3" t="s">
        <v>17</v>
      </c>
      <c r="S1" s="3" t="s">
        <v>18</v>
      </c>
      <c r="T1" s="3" t="s">
        <v>19</v>
      </c>
      <c r="U1" s="3" t="s">
        <v>20</v>
      </c>
      <c r="V1" s="3" t="s">
        <v>21</v>
      </c>
      <c r="W1" s="3" t="s">
        <v>22</v>
      </c>
      <c r="X1" s="3" t="s">
        <v>23</v>
      </c>
      <c r="Y1" s="3" t="s">
        <v>25</v>
      </c>
      <c r="Z1" s="3" t="s">
        <v>24</v>
      </c>
      <c r="AA1" s="3" t="s">
        <v>26</v>
      </c>
      <c r="AB1" s="3" t="s">
        <v>27</v>
      </c>
      <c r="AC1" s="3" t="s">
        <v>28</v>
      </c>
      <c r="AD1" s="3" t="s">
        <v>33</v>
      </c>
      <c r="AE1" s="3" t="s">
        <v>29</v>
      </c>
      <c r="AF1" s="3" t="s">
        <v>30</v>
      </c>
      <c r="AG1" s="3" t="s">
        <v>31</v>
      </c>
      <c r="AH1" s="3" t="s">
        <v>32</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ht="22.5" customHeight="1">
      <c r="A2" s="4">
        <v>46020.61119461806</v>
      </c>
      <c r="B2" s="5" t="s">
        <v>57</v>
      </c>
      <c r="C2" s="5" t="s">
        <v>58</v>
      </c>
      <c r="D2" s="5" t="s">
        <v>58</v>
      </c>
      <c r="E2" s="5" t="s">
        <v>59</v>
      </c>
      <c r="F2" s="5" t="s">
        <v>60</v>
      </c>
      <c r="G2" s="5" t="s">
        <v>61</v>
      </c>
      <c r="H2" s="5" t="s">
        <v>60</v>
      </c>
      <c r="I2" s="5" t="s">
        <v>60</v>
      </c>
      <c r="J2" s="5" t="s">
        <v>62</v>
      </c>
      <c r="K2" s="5" t="s">
        <v>63</v>
      </c>
      <c r="L2" s="5" t="s">
        <v>64</v>
      </c>
      <c r="M2" s="5" t="s">
        <v>65</v>
      </c>
      <c r="N2" s="5" t="s">
        <v>67</v>
      </c>
      <c r="O2" s="5" t="s">
        <v>66</v>
      </c>
      <c r="P2" s="5" t="s">
        <v>58</v>
      </c>
      <c r="Q2" s="5" t="s">
        <v>67</v>
      </c>
      <c r="R2" s="5" t="s">
        <v>58</v>
      </c>
      <c r="S2" s="5" t="s">
        <v>67</v>
      </c>
      <c r="T2" s="5" t="s">
        <v>67</v>
      </c>
      <c r="U2" s="5" t="s">
        <v>67</v>
      </c>
      <c r="V2" s="5" t="s">
        <v>67</v>
      </c>
      <c r="W2" s="5" t="s">
        <v>67</v>
      </c>
      <c r="X2" s="5" t="s">
        <v>67</v>
      </c>
      <c r="Y2" s="5" t="s">
        <v>66</v>
      </c>
      <c r="Z2" s="5" t="s">
        <v>67</v>
      </c>
      <c r="AA2" s="5" t="s">
        <v>67</v>
      </c>
      <c r="AB2" s="5" t="s">
        <v>67</v>
      </c>
      <c r="AC2" s="5" t="s">
        <v>67</v>
      </c>
      <c r="AD2" s="5" t="s">
        <v>66</v>
      </c>
      <c r="AE2" s="5" t="s">
        <v>67</v>
      </c>
      <c r="AF2" s="5" t="s">
        <v>58</v>
      </c>
      <c r="AG2" s="5" t="s">
        <v>67</v>
      </c>
      <c r="AH2" s="5" t="s">
        <v>67</v>
      </c>
      <c r="AI2" s="5" t="s">
        <v>72</v>
      </c>
      <c r="AJ2" s="5" t="s">
        <v>73</v>
      </c>
      <c r="AK2" s="5" t="s">
        <v>73</v>
      </c>
      <c r="AL2" s="5">
        <v>4.0</v>
      </c>
      <c r="AM2" s="5">
        <v>5.0</v>
      </c>
      <c r="AN2" s="5">
        <v>3.0</v>
      </c>
      <c r="AO2" s="5">
        <v>1.0</v>
      </c>
      <c r="AP2" s="5">
        <v>5.0</v>
      </c>
      <c r="AQ2" s="5">
        <v>5.0</v>
      </c>
      <c r="AR2" s="5">
        <v>3.0</v>
      </c>
      <c r="AS2" s="5">
        <v>4.0</v>
      </c>
      <c r="AT2" s="5">
        <v>1.0</v>
      </c>
      <c r="AU2" s="5">
        <v>4.0</v>
      </c>
      <c r="AV2" s="5">
        <v>5.0</v>
      </c>
      <c r="AW2" s="5">
        <v>5.0</v>
      </c>
      <c r="AX2" s="5">
        <v>2.0</v>
      </c>
      <c r="AY2" s="5">
        <v>4.0</v>
      </c>
      <c r="AZ2" s="5">
        <v>4.0</v>
      </c>
      <c r="BA2" s="5">
        <v>4.0</v>
      </c>
      <c r="BB2" s="5" t="s">
        <v>74</v>
      </c>
      <c r="BC2" s="5">
        <v>5.0</v>
      </c>
      <c r="BD2" s="5">
        <v>7.0</v>
      </c>
      <c r="BE2" s="5" t="s">
        <v>197</v>
      </c>
    </row>
    <row r="3" ht="22.5" customHeight="1">
      <c r="A3" s="4">
        <v>46020.63630783565</v>
      </c>
      <c r="B3" s="5" t="s">
        <v>57</v>
      </c>
      <c r="C3" s="5" t="s">
        <v>58</v>
      </c>
      <c r="D3" s="5" t="s">
        <v>58</v>
      </c>
      <c r="E3" s="5" t="s">
        <v>59</v>
      </c>
      <c r="F3" s="5" t="s">
        <v>60</v>
      </c>
      <c r="G3" s="5" t="s">
        <v>61</v>
      </c>
      <c r="H3" s="5" t="s">
        <v>60</v>
      </c>
      <c r="I3" s="5" t="s">
        <v>60</v>
      </c>
      <c r="J3" s="5" t="s">
        <v>62</v>
      </c>
      <c r="K3" s="5" t="s">
        <v>63</v>
      </c>
      <c r="L3" s="5" t="s">
        <v>64</v>
      </c>
      <c r="M3" s="5" t="s">
        <v>65</v>
      </c>
      <c r="N3" s="5" t="s">
        <v>67</v>
      </c>
      <c r="O3" s="5" t="s">
        <v>66</v>
      </c>
      <c r="P3" s="5" t="s">
        <v>58</v>
      </c>
      <c r="Q3" s="5" t="s">
        <v>58</v>
      </c>
      <c r="R3" s="5" t="s">
        <v>67</v>
      </c>
      <c r="S3" s="5" t="s">
        <v>67</v>
      </c>
      <c r="T3" s="5" t="s">
        <v>67</v>
      </c>
      <c r="U3" s="5" t="s">
        <v>67</v>
      </c>
      <c r="V3" s="5" t="s">
        <v>58</v>
      </c>
      <c r="W3" s="5" t="s">
        <v>67</v>
      </c>
      <c r="X3" s="5" t="s">
        <v>67</v>
      </c>
      <c r="Y3" s="5" t="s">
        <v>66</v>
      </c>
      <c r="Z3" s="5" t="s">
        <v>67</v>
      </c>
      <c r="AA3" s="5" t="s">
        <v>67</v>
      </c>
      <c r="AB3" s="5" t="s">
        <v>67</v>
      </c>
      <c r="AC3" s="5" t="s">
        <v>67</v>
      </c>
      <c r="AD3" s="5" t="s">
        <v>66</v>
      </c>
      <c r="AE3" s="5" t="s">
        <v>67</v>
      </c>
      <c r="AF3" s="5" t="s">
        <v>58</v>
      </c>
      <c r="AG3" s="5" t="s">
        <v>67</v>
      </c>
      <c r="AH3" s="5" t="s">
        <v>58</v>
      </c>
      <c r="AI3" s="5" t="s">
        <v>72</v>
      </c>
      <c r="AJ3" s="5" t="s">
        <v>73</v>
      </c>
      <c r="AK3" s="5" t="s">
        <v>73</v>
      </c>
      <c r="AL3" s="5">
        <v>3.0</v>
      </c>
      <c r="AM3" s="5">
        <v>4.0</v>
      </c>
      <c r="AN3" s="5">
        <v>2.0</v>
      </c>
      <c r="AO3" s="5">
        <v>1.0</v>
      </c>
      <c r="AP3" s="5">
        <v>5.0</v>
      </c>
      <c r="AQ3" s="5">
        <v>5.0</v>
      </c>
      <c r="AR3" s="5">
        <v>1.0</v>
      </c>
      <c r="AS3" s="5">
        <v>3.0</v>
      </c>
      <c r="AT3" s="5">
        <v>1.0</v>
      </c>
      <c r="AU3" s="5">
        <v>2.0</v>
      </c>
      <c r="AV3" s="5">
        <v>4.0</v>
      </c>
      <c r="AW3" s="5">
        <v>4.0</v>
      </c>
      <c r="AX3" s="5">
        <v>2.0</v>
      </c>
      <c r="AY3" s="5">
        <v>5.0</v>
      </c>
      <c r="AZ3" s="5">
        <v>1.0</v>
      </c>
      <c r="BA3" s="5">
        <v>3.0</v>
      </c>
      <c r="BB3" s="5" t="s">
        <v>70</v>
      </c>
      <c r="BC3" s="5">
        <v>3.0</v>
      </c>
      <c r="BD3" s="5">
        <v>4.0</v>
      </c>
      <c r="BE3" s="5" t="s">
        <v>198</v>
      </c>
    </row>
    <row r="4" ht="22.5" customHeight="1">
      <c r="A4" s="4">
        <v>46020.75777376158</v>
      </c>
      <c r="B4" s="5" t="s">
        <v>57</v>
      </c>
      <c r="C4" s="5" t="s">
        <v>58</v>
      </c>
      <c r="D4" s="5" t="s">
        <v>58</v>
      </c>
      <c r="E4" s="5" t="s">
        <v>59</v>
      </c>
      <c r="F4" s="5" t="s">
        <v>60</v>
      </c>
      <c r="G4" s="5" t="s">
        <v>61</v>
      </c>
      <c r="H4" s="5" t="s">
        <v>60</v>
      </c>
      <c r="I4" s="5" t="s">
        <v>60</v>
      </c>
      <c r="J4" s="5" t="s">
        <v>62</v>
      </c>
      <c r="K4" s="5" t="s">
        <v>63</v>
      </c>
      <c r="L4" s="5" t="s">
        <v>64</v>
      </c>
      <c r="M4" s="5" t="s">
        <v>65</v>
      </c>
      <c r="N4" s="5" t="s">
        <v>67</v>
      </c>
      <c r="O4" s="5" t="s">
        <v>66</v>
      </c>
      <c r="P4" s="5" t="s">
        <v>58</v>
      </c>
      <c r="Q4" s="5" t="s">
        <v>58</v>
      </c>
      <c r="R4" s="5" t="s">
        <v>67</v>
      </c>
      <c r="S4" s="5" t="s">
        <v>67</v>
      </c>
      <c r="T4" s="5" t="s">
        <v>67</v>
      </c>
      <c r="U4" s="5" t="s">
        <v>67</v>
      </c>
      <c r="V4" s="5" t="s">
        <v>58</v>
      </c>
      <c r="W4" s="5" t="s">
        <v>58</v>
      </c>
      <c r="X4" s="5" t="s">
        <v>67</v>
      </c>
      <c r="Y4" s="5" t="s">
        <v>66</v>
      </c>
      <c r="Z4" s="5" t="s">
        <v>67</v>
      </c>
      <c r="AA4" s="5" t="s">
        <v>58</v>
      </c>
      <c r="AB4" s="5" t="s">
        <v>67</v>
      </c>
      <c r="AC4" s="5" t="s">
        <v>58</v>
      </c>
      <c r="AD4" s="5" t="s">
        <v>66</v>
      </c>
      <c r="AE4" s="5" t="s">
        <v>58</v>
      </c>
      <c r="AF4" s="5" t="s">
        <v>58</v>
      </c>
      <c r="AG4" s="5" t="s">
        <v>58</v>
      </c>
      <c r="AH4" s="5" t="s">
        <v>67</v>
      </c>
      <c r="AI4" s="5" t="s">
        <v>68</v>
      </c>
      <c r="AJ4" s="5" t="s">
        <v>73</v>
      </c>
      <c r="AK4" s="5" t="s">
        <v>73</v>
      </c>
      <c r="AL4" s="5">
        <v>3.0</v>
      </c>
      <c r="AM4" s="5">
        <v>2.0</v>
      </c>
      <c r="AN4" s="5">
        <v>1.0</v>
      </c>
      <c r="AO4" s="5">
        <v>1.0</v>
      </c>
      <c r="AP4" s="5">
        <v>5.0</v>
      </c>
      <c r="AQ4" s="5">
        <v>4.0</v>
      </c>
      <c r="AR4" s="5">
        <v>2.0</v>
      </c>
      <c r="AS4" s="5">
        <v>5.0</v>
      </c>
      <c r="AT4" s="5">
        <v>2.0</v>
      </c>
      <c r="AU4" s="5">
        <v>5.0</v>
      </c>
      <c r="AV4" s="5">
        <v>4.0</v>
      </c>
      <c r="AW4" s="5">
        <v>5.0</v>
      </c>
      <c r="AX4" s="5">
        <v>2.0</v>
      </c>
      <c r="AY4" s="5">
        <v>5.0</v>
      </c>
      <c r="AZ4" s="5">
        <v>1.0</v>
      </c>
      <c r="BA4" s="5">
        <v>5.0</v>
      </c>
      <c r="BB4" s="5" t="s">
        <v>70</v>
      </c>
      <c r="BC4" s="5">
        <v>2.0</v>
      </c>
      <c r="BD4" s="5">
        <v>5.0</v>
      </c>
      <c r="BE4" s="5" t="s">
        <v>199</v>
      </c>
    </row>
    <row r="5" ht="22.5" customHeight="1">
      <c r="A5" s="4">
        <v>46020.82403587963</v>
      </c>
      <c r="B5" s="5" t="s">
        <v>57</v>
      </c>
      <c r="C5" s="5" t="s">
        <v>58</v>
      </c>
      <c r="D5" s="5" t="s">
        <v>58</v>
      </c>
      <c r="E5" s="5" t="s">
        <v>59</v>
      </c>
      <c r="F5" s="5" t="s">
        <v>60</v>
      </c>
      <c r="G5" s="5" t="s">
        <v>61</v>
      </c>
      <c r="H5" s="5" t="s">
        <v>60</v>
      </c>
      <c r="I5" s="5" t="s">
        <v>60</v>
      </c>
      <c r="J5" s="5" t="s">
        <v>62</v>
      </c>
      <c r="K5" s="5" t="s">
        <v>63</v>
      </c>
      <c r="L5" s="5" t="s">
        <v>97</v>
      </c>
      <c r="M5" s="5" t="s">
        <v>65</v>
      </c>
      <c r="N5" s="5" t="s">
        <v>67</v>
      </c>
      <c r="O5" s="5" t="s">
        <v>58</v>
      </c>
      <c r="P5" s="5" t="s">
        <v>58</v>
      </c>
      <c r="Q5" s="5" t="s">
        <v>67</v>
      </c>
      <c r="R5" s="5" t="s">
        <v>67</v>
      </c>
      <c r="S5" s="5" t="s">
        <v>58</v>
      </c>
      <c r="T5" s="5" t="s">
        <v>58</v>
      </c>
      <c r="U5" s="5" t="s">
        <v>67</v>
      </c>
      <c r="V5" s="5" t="s">
        <v>58</v>
      </c>
      <c r="W5" s="5" t="s">
        <v>67</v>
      </c>
      <c r="X5" s="5" t="s">
        <v>58</v>
      </c>
      <c r="Y5" s="5" t="s">
        <v>58</v>
      </c>
      <c r="Z5" s="5" t="s">
        <v>58</v>
      </c>
      <c r="AA5" s="5" t="s">
        <v>67</v>
      </c>
      <c r="AB5" s="5" t="s">
        <v>58</v>
      </c>
      <c r="AC5" s="5" t="s">
        <v>67</v>
      </c>
      <c r="AD5" s="5" t="s">
        <v>66</v>
      </c>
      <c r="AE5" s="5" t="s">
        <v>67</v>
      </c>
      <c r="AF5" s="5" t="s">
        <v>58</v>
      </c>
      <c r="AG5" s="5" t="s">
        <v>67</v>
      </c>
      <c r="AH5" s="5" t="s">
        <v>58</v>
      </c>
      <c r="AI5" s="5" t="s">
        <v>68</v>
      </c>
      <c r="AJ5" s="5" t="s">
        <v>69</v>
      </c>
      <c r="AK5" s="5" t="s">
        <v>69</v>
      </c>
      <c r="AL5" s="5">
        <v>5.0</v>
      </c>
      <c r="AM5" s="5">
        <v>5.0</v>
      </c>
      <c r="AN5" s="5">
        <v>1.0</v>
      </c>
      <c r="AO5" s="5">
        <v>1.0</v>
      </c>
      <c r="AP5" s="5">
        <v>5.0</v>
      </c>
      <c r="AQ5" s="5">
        <v>5.0</v>
      </c>
      <c r="AR5" s="5">
        <v>3.0</v>
      </c>
      <c r="AS5" s="5">
        <v>5.0</v>
      </c>
      <c r="AT5" s="5">
        <v>3.0</v>
      </c>
      <c r="AU5" s="5">
        <v>1.0</v>
      </c>
      <c r="AV5" s="5">
        <v>5.0</v>
      </c>
      <c r="AW5" s="5">
        <v>1.0</v>
      </c>
      <c r="AX5" s="5">
        <v>5.0</v>
      </c>
      <c r="AY5" s="5">
        <v>1.0</v>
      </c>
      <c r="AZ5" s="5">
        <v>1.0</v>
      </c>
      <c r="BA5" s="5">
        <v>1.0</v>
      </c>
      <c r="BB5" s="5" t="s">
        <v>70</v>
      </c>
      <c r="BC5" s="5">
        <v>7.0</v>
      </c>
      <c r="BD5" s="5">
        <v>5.0</v>
      </c>
      <c r="BE5" s="5" t="s">
        <v>200</v>
      </c>
    </row>
    <row r="6" ht="22.5" customHeight="1">
      <c r="A6" s="4">
        <v>46021.04526204861</v>
      </c>
      <c r="B6" s="5" t="s">
        <v>57</v>
      </c>
      <c r="C6" s="5" t="s">
        <v>58</v>
      </c>
      <c r="D6" s="5" t="s">
        <v>58</v>
      </c>
      <c r="E6" s="5" t="s">
        <v>59</v>
      </c>
      <c r="F6" s="5" t="s">
        <v>60</v>
      </c>
      <c r="G6" s="5" t="s">
        <v>61</v>
      </c>
      <c r="H6" s="5" t="s">
        <v>60</v>
      </c>
      <c r="I6" s="5" t="s">
        <v>60</v>
      </c>
      <c r="J6" s="5" t="s">
        <v>62</v>
      </c>
      <c r="K6" s="5" t="s">
        <v>63</v>
      </c>
      <c r="L6" s="5" t="s">
        <v>64</v>
      </c>
      <c r="M6" s="5" t="s">
        <v>65</v>
      </c>
      <c r="N6" s="5" t="s">
        <v>58</v>
      </c>
      <c r="O6" s="5" t="s">
        <v>67</v>
      </c>
      <c r="P6" s="5" t="s">
        <v>58</v>
      </c>
      <c r="Q6" s="5" t="s">
        <v>58</v>
      </c>
      <c r="R6" s="5" t="s">
        <v>58</v>
      </c>
      <c r="S6" s="5" t="s">
        <v>58</v>
      </c>
      <c r="T6" s="5" t="s">
        <v>58</v>
      </c>
      <c r="U6" s="5" t="s">
        <v>58</v>
      </c>
      <c r="V6" s="5" t="s">
        <v>58</v>
      </c>
      <c r="W6" s="5" t="s">
        <v>58</v>
      </c>
      <c r="X6" s="5" t="s">
        <v>58</v>
      </c>
      <c r="Y6" s="5" t="s">
        <v>58</v>
      </c>
      <c r="Z6" s="5" t="s">
        <v>58</v>
      </c>
      <c r="AA6" s="5" t="s">
        <v>58</v>
      </c>
      <c r="AB6" s="5" t="s">
        <v>58</v>
      </c>
      <c r="AC6" s="5" t="s">
        <v>58</v>
      </c>
      <c r="AD6" s="5" t="s">
        <v>58</v>
      </c>
      <c r="AE6" s="5" t="s">
        <v>58</v>
      </c>
      <c r="AF6" s="5" t="s">
        <v>58</v>
      </c>
      <c r="AG6" s="5" t="s">
        <v>58</v>
      </c>
      <c r="AH6" s="5" t="s">
        <v>58</v>
      </c>
      <c r="AI6" s="5" t="s">
        <v>68</v>
      </c>
      <c r="AJ6" s="5" t="s">
        <v>69</v>
      </c>
      <c r="AK6" s="5" t="s">
        <v>69</v>
      </c>
      <c r="AL6" s="5">
        <v>5.0</v>
      </c>
      <c r="AM6" s="5">
        <v>3.0</v>
      </c>
      <c r="AN6" s="5">
        <v>4.0</v>
      </c>
      <c r="AO6" s="5">
        <v>3.0</v>
      </c>
      <c r="AP6" s="5">
        <v>5.0</v>
      </c>
      <c r="AQ6" s="5">
        <v>4.0</v>
      </c>
      <c r="AR6" s="5">
        <v>1.0</v>
      </c>
      <c r="AS6" s="5">
        <v>5.0</v>
      </c>
      <c r="AT6" s="5">
        <v>1.0</v>
      </c>
      <c r="AU6" s="5">
        <v>4.0</v>
      </c>
      <c r="AV6" s="5">
        <v>4.0</v>
      </c>
      <c r="AW6" s="5">
        <v>3.0</v>
      </c>
      <c r="AX6" s="5">
        <v>2.0</v>
      </c>
      <c r="AY6" s="5">
        <v>3.0</v>
      </c>
      <c r="AZ6" s="5">
        <v>1.0</v>
      </c>
      <c r="BA6" s="5">
        <v>5.0</v>
      </c>
      <c r="BB6" s="5" t="s">
        <v>74</v>
      </c>
      <c r="BC6" s="5">
        <v>6.0</v>
      </c>
      <c r="BD6" s="5">
        <v>3.0</v>
      </c>
      <c r="BE6" s="5" t="s">
        <v>201</v>
      </c>
    </row>
    <row r="7" ht="22.5" customHeight="1">
      <c r="A7" s="4">
        <v>46022.102871574076</v>
      </c>
      <c r="B7" s="5" t="s">
        <v>57</v>
      </c>
      <c r="C7" s="5" t="s">
        <v>58</v>
      </c>
      <c r="D7" s="5" t="s">
        <v>58</v>
      </c>
      <c r="E7" s="5" t="s">
        <v>59</v>
      </c>
      <c r="F7" s="5" t="s">
        <v>60</v>
      </c>
      <c r="G7" s="5" t="s">
        <v>61</v>
      </c>
      <c r="H7" s="5" t="s">
        <v>60</v>
      </c>
      <c r="I7" s="5" t="s">
        <v>60</v>
      </c>
      <c r="J7" s="5" t="s">
        <v>62</v>
      </c>
      <c r="K7" s="5" t="s">
        <v>63</v>
      </c>
      <c r="L7" s="5" t="s">
        <v>64</v>
      </c>
      <c r="M7" s="5" t="s">
        <v>65</v>
      </c>
      <c r="N7" s="5" t="s">
        <v>58</v>
      </c>
      <c r="O7" s="5" t="s">
        <v>66</v>
      </c>
      <c r="P7" s="5" t="s">
        <v>58</v>
      </c>
      <c r="Q7" s="5" t="s">
        <v>58</v>
      </c>
      <c r="R7" s="5" t="s">
        <v>58</v>
      </c>
      <c r="S7" s="5" t="s">
        <v>58</v>
      </c>
      <c r="T7" s="5" t="s">
        <v>58</v>
      </c>
      <c r="U7" s="5" t="s">
        <v>58</v>
      </c>
      <c r="V7" s="5" t="s">
        <v>58</v>
      </c>
      <c r="W7" s="5" t="s">
        <v>58</v>
      </c>
      <c r="X7" s="5" t="s">
        <v>58</v>
      </c>
      <c r="Y7" s="5" t="s">
        <v>66</v>
      </c>
      <c r="Z7" s="5" t="s">
        <v>58</v>
      </c>
      <c r="AA7" s="5" t="s">
        <v>58</v>
      </c>
      <c r="AB7" s="5" t="s">
        <v>58</v>
      </c>
      <c r="AC7" s="5" t="s">
        <v>58</v>
      </c>
      <c r="AD7" s="5" t="s">
        <v>66</v>
      </c>
      <c r="AE7" s="5" t="s">
        <v>58</v>
      </c>
      <c r="AF7" s="5" t="s">
        <v>58</v>
      </c>
      <c r="AG7" s="5" t="s">
        <v>58</v>
      </c>
      <c r="AH7" s="5" t="s">
        <v>58</v>
      </c>
      <c r="AI7" s="5" t="s">
        <v>77</v>
      </c>
      <c r="AJ7" s="5" t="s">
        <v>69</v>
      </c>
      <c r="AK7" s="5" t="s">
        <v>69</v>
      </c>
      <c r="AL7" s="5">
        <v>4.0</v>
      </c>
      <c r="AM7" s="5">
        <v>4.0</v>
      </c>
      <c r="AN7" s="5">
        <v>1.0</v>
      </c>
      <c r="AO7" s="5">
        <v>2.0</v>
      </c>
      <c r="AP7" s="5">
        <v>4.0</v>
      </c>
      <c r="AQ7" s="5">
        <v>3.0</v>
      </c>
      <c r="AR7" s="5">
        <v>3.0</v>
      </c>
      <c r="AS7" s="5">
        <v>2.0</v>
      </c>
      <c r="AT7" s="5">
        <v>1.0</v>
      </c>
      <c r="AU7" s="5">
        <v>1.0</v>
      </c>
      <c r="AV7" s="5">
        <v>1.0</v>
      </c>
      <c r="AW7" s="5">
        <v>2.0</v>
      </c>
      <c r="AX7" s="5">
        <v>1.0</v>
      </c>
      <c r="AY7" s="5">
        <v>5.0</v>
      </c>
      <c r="AZ7" s="5">
        <v>1.0</v>
      </c>
      <c r="BA7" s="5">
        <v>1.0</v>
      </c>
      <c r="BB7" s="5" t="s">
        <v>70</v>
      </c>
      <c r="BC7" s="5">
        <v>2.0</v>
      </c>
      <c r="BD7" s="5">
        <v>3.0</v>
      </c>
      <c r="BE7" s="5" t="s">
        <v>202</v>
      </c>
    </row>
    <row r="8" ht="22.5" customHeight="1">
      <c r="A8" s="6">
        <v>46022.668995115746</v>
      </c>
      <c r="B8" s="7" t="s">
        <v>57</v>
      </c>
      <c r="C8" s="7" t="s">
        <v>58</v>
      </c>
      <c r="D8" s="7" t="s">
        <v>58</v>
      </c>
      <c r="E8" s="7" t="s">
        <v>59</v>
      </c>
      <c r="F8" s="7" t="s">
        <v>60</v>
      </c>
      <c r="G8" s="7" t="s">
        <v>61</v>
      </c>
      <c r="H8" s="7" t="s">
        <v>60</v>
      </c>
      <c r="I8" s="7" t="s">
        <v>60</v>
      </c>
      <c r="J8" s="7" t="s">
        <v>62</v>
      </c>
      <c r="K8" s="7" t="s">
        <v>63</v>
      </c>
      <c r="L8" s="7" t="s">
        <v>64</v>
      </c>
      <c r="M8" s="7" t="s">
        <v>65</v>
      </c>
      <c r="N8" s="7" t="s">
        <v>67</v>
      </c>
      <c r="O8" s="7" t="s">
        <v>67</v>
      </c>
      <c r="P8" s="7" t="s">
        <v>58</v>
      </c>
      <c r="Q8" s="7" t="s">
        <v>58</v>
      </c>
      <c r="R8" s="7" t="s">
        <v>58</v>
      </c>
      <c r="S8" s="7" t="s">
        <v>58</v>
      </c>
      <c r="T8" s="7" t="s">
        <v>67</v>
      </c>
      <c r="U8" s="7" t="s">
        <v>67</v>
      </c>
      <c r="V8" s="7" t="s">
        <v>58</v>
      </c>
      <c r="W8" s="7" t="s">
        <v>58</v>
      </c>
      <c r="X8" s="7" t="s">
        <v>58</v>
      </c>
      <c r="Y8" s="7" t="s">
        <v>66</v>
      </c>
      <c r="Z8" s="7" t="s">
        <v>58</v>
      </c>
      <c r="AA8" s="7" t="s">
        <v>58</v>
      </c>
      <c r="AB8" s="7" t="s">
        <v>67</v>
      </c>
      <c r="AC8" s="7" t="s">
        <v>67</v>
      </c>
      <c r="AD8" s="7" t="s">
        <v>66</v>
      </c>
      <c r="AE8" s="7" t="s">
        <v>58</v>
      </c>
      <c r="AF8" s="7" t="s">
        <v>58</v>
      </c>
      <c r="AG8" s="7" t="s">
        <v>58</v>
      </c>
      <c r="AH8" s="7" t="s">
        <v>58</v>
      </c>
      <c r="AI8" s="7" t="s">
        <v>72</v>
      </c>
      <c r="AJ8" s="7" t="s">
        <v>73</v>
      </c>
      <c r="AK8" s="7" t="s">
        <v>69</v>
      </c>
      <c r="AL8" s="7">
        <v>3.0</v>
      </c>
      <c r="AM8" s="7">
        <v>4.0</v>
      </c>
      <c r="AN8" s="7">
        <v>3.0</v>
      </c>
      <c r="AO8" s="7">
        <v>3.0</v>
      </c>
      <c r="AP8" s="7">
        <v>4.0</v>
      </c>
      <c r="AQ8" s="7">
        <v>4.0</v>
      </c>
      <c r="AR8" s="7">
        <v>1.0</v>
      </c>
      <c r="AS8" s="7">
        <v>3.0</v>
      </c>
      <c r="AT8" s="7">
        <v>1.0</v>
      </c>
      <c r="AU8" s="7">
        <v>3.0</v>
      </c>
      <c r="AV8" s="7">
        <v>3.0</v>
      </c>
      <c r="AW8" s="7">
        <v>5.0</v>
      </c>
      <c r="AX8" s="7">
        <v>4.0</v>
      </c>
      <c r="AY8" s="7">
        <v>4.0</v>
      </c>
      <c r="AZ8" s="7">
        <v>2.0</v>
      </c>
      <c r="BA8" s="7">
        <v>3.0</v>
      </c>
      <c r="BB8" s="7" t="s">
        <v>70</v>
      </c>
      <c r="BC8" s="7">
        <v>6.0</v>
      </c>
      <c r="BD8" s="7">
        <v>9.0</v>
      </c>
      <c r="BE8" s="7" t="s">
        <v>203</v>
      </c>
    </row>
    <row r="9" ht="22.5" customHeight="1">
      <c r="A9" s="6">
        <v>46022.70620488426</v>
      </c>
      <c r="B9" s="7" t="s">
        <v>57</v>
      </c>
      <c r="C9" s="7" t="s">
        <v>58</v>
      </c>
      <c r="D9" s="7" t="s">
        <v>58</v>
      </c>
      <c r="E9" s="7" t="s">
        <v>59</v>
      </c>
      <c r="F9" s="7" t="s">
        <v>60</v>
      </c>
      <c r="G9" s="7" t="s">
        <v>61</v>
      </c>
      <c r="H9" s="7" t="s">
        <v>60</v>
      </c>
      <c r="I9" s="7" t="s">
        <v>60</v>
      </c>
      <c r="J9" s="7" t="s">
        <v>62</v>
      </c>
      <c r="K9" s="7" t="s">
        <v>63</v>
      </c>
      <c r="L9" s="7" t="s">
        <v>64</v>
      </c>
      <c r="M9" s="7" t="s">
        <v>65</v>
      </c>
      <c r="N9" s="7" t="s">
        <v>67</v>
      </c>
      <c r="O9" s="7" t="s">
        <v>66</v>
      </c>
      <c r="P9" s="7" t="s">
        <v>67</v>
      </c>
      <c r="Q9" s="7" t="s">
        <v>58</v>
      </c>
      <c r="R9" s="7" t="s">
        <v>58</v>
      </c>
      <c r="S9" s="7" t="s">
        <v>67</v>
      </c>
      <c r="T9" s="7" t="s">
        <v>67</v>
      </c>
      <c r="U9" s="7" t="s">
        <v>58</v>
      </c>
      <c r="V9" s="7" t="s">
        <v>58</v>
      </c>
      <c r="W9" s="7" t="s">
        <v>58</v>
      </c>
      <c r="X9" s="7" t="s">
        <v>58</v>
      </c>
      <c r="Y9" s="7" t="s">
        <v>66</v>
      </c>
      <c r="Z9" s="7" t="s">
        <v>58</v>
      </c>
      <c r="AA9" s="7" t="s">
        <v>58</v>
      </c>
      <c r="AB9" s="7" t="s">
        <v>67</v>
      </c>
      <c r="AC9" s="7" t="s">
        <v>67</v>
      </c>
      <c r="AD9" s="7" t="s">
        <v>66</v>
      </c>
      <c r="AE9" s="7" t="s">
        <v>67</v>
      </c>
      <c r="AF9" s="7" t="s">
        <v>67</v>
      </c>
      <c r="AG9" s="7" t="s">
        <v>58</v>
      </c>
      <c r="AH9" s="7" t="s">
        <v>58</v>
      </c>
      <c r="AI9" s="7" t="s">
        <v>72</v>
      </c>
      <c r="AJ9" s="7" t="s">
        <v>69</v>
      </c>
      <c r="AK9" s="7" t="s">
        <v>73</v>
      </c>
      <c r="AL9" s="7">
        <v>4.0</v>
      </c>
      <c r="AM9" s="7">
        <v>3.0</v>
      </c>
      <c r="AN9" s="7">
        <v>1.0</v>
      </c>
      <c r="AO9" s="7">
        <v>1.0</v>
      </c>
      <c r="AP9" s="7">
        <v>4.0</v>
      </c>
      <c r="AQ9" s="7">
        <v>3.0</v>
      </c>
      <c r="AR9" s="7">
        <v>1.0</v>
      </c>
      <c r="AS9" s="7">
        <v>5.0</v>
      </c>
      <c r="AT9" s="7">
        <v>1.0</v>
      </c>
      <c r="AU9" s="7">
        <v>5.0</v>
      </c>
      <c r="AV9" s="7">
        <v>1.0</v>
      </c>
      <c r="AW9" s="7">
        <v>5.0</v>
      </c>
      <c r="AX9" s="7">
        <v>1.0</v>
      </c>
      <c r="AY9" s="7">
        <v>5.0</v>
      </c>
      <c r="AZ9" s="7">
        <v>1.0</v>
      </c>
      <c r="BA9" s="7">
        <v>5.0</v>
      </c>
      <c r="BB9" s="7" t="s">
        <v>70</v>
      </c>
      <c r="BC9" s="7">
        <v>2.0</v>
      </c>
      <c r="BD9" s="7">
        <v>4.0</v>
      </c>
      <c r="BE9" s="7" t="s">
        <v>204</v>
      </c>
    </row>
    <row r="10" ht="22.5" customHeight="1">
      <c r="A10" s="6">
        <v>46022.731201365736</v>
      </c>
      <c r="B10" s="7" t="s">
        <v>57</v>
      </c>
      <c r="C10" s="7" t="s">
        <v>58</v>
      </c>
      <c r="D10" s="7" t="s">
        <v>58</v>
      </c>
      <c r="E10" s="7" t="s">
        <v>59</v>
      </c>
      <c r="F10" s="7" t="s">
        <v>60</v>
      </c>
      <c r="G10" s="7" t="s">
        <v>61</v>
      </c>
      <c r="H10" s="7" t="s">
        <v>60</v>
      </c>
      <c r="I10" s="7" t="s">
        <v>60</v>
      </c>
      <c r="J10" s="7" t="s">
        <v>62</v>
      </c>
      <c r="K10" s="7" t="s">
        <v>63</v>
      </c>
      <c r="L10" s="7" t="s">
        <v>64</v>
      </c>
      <c r="M10" s="7" t="s">
        <v>65</v>
      </c>
      <c r="N10" s="7" t="s">
        <v>58</v>
      </c>
      <c r="O10" s="7" t="s">
        <v>66</v>
      </c>
      <c r="P10" s="7" t="s">
        <v>58</v>
      </c>
      <c r="Q10" s="7" t="s">
        <v>58</v>
      </c>
      <c r="R10" s="7" t="s">
        <v>58</v>
      </c>
      <c r="S10" s="7" t="s">
        <v>58</v>
      </c>
      <c r="T10" s="7" t="s">
        <v>58</v>
      </c>
      <c r="U10" s="7" t="s">
        <v>58</v>
      </c>
      <c r="V10" s="7" t="s">
        <v>58</v>
      </c>
      <c r="W10" s="7" t="s">
        <v>58</v>
      </c>
      <c r="X10" s="7" t="s">
        <v>58</v>
      </c>
      <c r="Y10" s="7" t="s">
        <v>66</v>
      </c>
      <c r="Z10" s="7" t="s">
        <v>58</v>
      </c>
      <c r="AA10" s="7" t="s">
        <v>58</v>
      </c>
      <c r="AB10" s="7" t="s">
        <v>58</v>
      </c>
      <c r="AC10" s="7" t="s">
        <v>58</v>
      </c>
      <c r="AD10" s="7" t="s">
        <v>66</v>
      </c>
      <c r="AE10" s="7" t="s">
        <v>58</v>
      </c>
      <c r="AF10" s="7" t="s">
        <v>58</v>
      </c>
      <c r="AG10" s="7" t="s">
        <v>58</v>
      </c>
      <c r="AH10" s="7" t="s">
        <v>58</v>
      </c>
      <c r="AI10" s="7" t="s">
        <v>77</v>
      </c>
      <c r="AJ10" s="7" t="s">
        <v>69</v>
      </c>
      <c r="AK10" s="7" t="s">
        <v>69</v>
      </c>
      <c r="AL10" s="7">
        <v>5.0</v>
      </c>
      <c r="AM10" s="7">
        <v>5.0</v>
      </c>
      <c r="AN10" s="7">
        <v>1.0</v>
      </c>
      <c r="AO10" s="7">
        <v>1.0</v>
      </c>
      <c r="AP10" s="7">
        <v>5.0</v>
      </c>
      <c r="AQ10" s="7">
        <v>5.0</v>
      </c>
      <c r="AR10" s="7">
        <v>1.0</v>
      </c>
      <c r="AS10" s="7">
        <v>5.0</v>
      </c>
      <c r="AT10" s="7">
        <v>1.0</v>
      </c>
      <c r="AU10" s="7">
        <v>5.0</v>
      </c>
      <c r="AV10" s="7">
        <v>1.0</v>
      </c>
      <c r="AW10" s="7">
        <v>5.0</v>
      </c>
      <c r="AX10" s="7">
        <v>1.0</v>
      </c>
      <c r="AY10" s="7">
        <v>5.0</v>
      </c>
      <c r="AZ10" s="7">
        <v>1.0</v>
      </c>
      <c r="BA10" s="7">
        <v>5.0</v>
      </c>
      <c r="BB10" s="7" t="s">
        <v>74</v>
      </c>
      <c r="BC10" s="7">
        <v>2.0</v>
      </c>
      <c r="BD10" s="7">
        <v>4.0</v>
      </c>
      <c r="BE10" s="7" t="s">
        <v>205</v>
      </c>
    </row>
    <row r="11" ht="22.5" customHeight="1">
      <c r="A11" s="6">
        <v>46022.745800902776</v>
      </c>
      <c r="B11" s="7" t="s">
        <v>57</v>
      </c>
      <c r="C11" s="7" t="s">
        <v>58</v>
      </c>
      <c r="D11" s="7" t="s">
        <v>58</v>
      </c>
      <c r="E11" s="7" t="s">
        <v>59</v>
      </c>
      <c r="F11" s="7" t="s">
        <v>60</v>
      </c>
      <c r="G11" s="7" t="s">
        <v>61</v>
      </c>
      <c r="H11" s="7" t="s">
        <v>60</v>
      </c>
      <c r="I11" s="7" t="s">
        <v>60</v>
      </c>
      <c r="J11" s="7" t="s">
        <v>62</v>
      </c>
      <c r="K11" s="7" t="s">
        <v>63</v>
      </c>
      <c r="L11" s="7" t="s">
        <v>64</v>
      </c>
      <c r="M11" s="7" t="s">
        <v>65</v>
      </c>
      <c r="N11" s="7" t="s">
        <v>58</v>
      </c>
      <c r="O11" s="7" t="s">
        <v>66</v>
      </c>
      <c r="P11" s="7" t="s">
        <v>58</v>
      </c>
      <c r="Q11" s="7" t="s">
        <v>67</v>
      </c>
      <c r="R11" s="7" t="s">
        <v>58</v>
      </c>
      <c r="S11" s="7" t="s">
        <v>58</v>
      </c>
      <c r="T11" s="7" t="s">
        <v>58</v>
      </c>
      <c r="U11" s="7" t="s">
        <v>58</v>
      </c>
      <c r="V11" s="7" t="s">
        <v>67</v>
      </c>
      <c r="W11" s="7" t="s">
        <v>67</v>
      </c>
      <c r="X11" s="7" t="s">
        <v>58</v>
      </c>
      <c r="Y11" s="7" t="s">
        <v>66</v>
      </c>
      <c r="Z11" s="7" t="s">
        <v>67</v>
      </c>
      <c r="AA11" s="7" t="s">
        <v>58</v>
      </c>
      <c r="AB11" s="7" t="s">
        <v>67</v>
      </c>
      <c r="AC11" s="7" t="s">
        <v>67</v>
      </c>
      <c r="AD11" s="7" t="s">
        <v>66</v>
      </c>
      <c r="AE11" s="7" t="s">
        <v>67</v>
      </c>
      <c r="AF11" s="7" t="s">
        <v>67</v>
      </c>
      <c r="AG11" s="7" t="s">
        <v>58</v>
      </c>
      <c r="AH11" s="7" t="s">
        <v>58</v>
      </c>
      <c r="AI11" s="7" t="s">
        <v>72</v>
      </c>
      <c r="AJ11" s="7" t="s">
        <v>73</v>
      </c>
      <c r="AK11" s="7" t="s">
        <v>73</v>
      </c>
      <c r="AL11" s="7">
        <v>1.0</v>
      </c>
      <c r="AM11" s="7">
        <v>1.0</v>
      </c>
      <c r="AN11" s="7">
        <v>3.0</v>
      </c>
      <c r="AO11" s="7">
        <v>1.0</v>
      </c>
      <c r="AP11" s="7">
        <v>5.0</v>
      </c>
      <c r="AQ11" s="7">
        <v>5.0</v>
      </c>
      <c r="AR11" s="7">
        <v>1.0</v>
      </c>
      <c r="AS11" s="7">
        <v>3.0</v>
      </c>
      <c r="AT11" s="7">
        <v>1.0</v>
      </c>
      <c r="AU11" s="7">
        <v>5.0</v>
      </c>
      <c r="AV11" s="7">
        <v>1.0</v>
      </c>
      <c r="AW11" s="7">
        <v>5.0</v>
      </c>
      <c r="AX11" s="7">
        <v>4.0</v>
      </c>
      <c r="AY11" s="7">
        <v>4.0</v>
      </c>
      <c r="AZ11" s="7">
        <v>1.0</v>
      </c>
      <c r="BA11" s="7">
        <v>5.0</v>
      </c>
      <c r="BB11" s="7" t="s">
        <v>70</v>
      </c>
      <c r="BC11" s="7">
        <v>3.0</v>
      </c>
      <c r="BD11" s="7">
        <v>2.0</v>
      </c>
      <c r="BE11" s="7" t="s">
        <v>206</v>
      </c>
    </row>
    <row r="12" ht="22.5" customHeight="1">
      <c r="A12" s="6">
        <v>46024.51116796296</v>
      </c>
      <c r="B12" s="7" t="s">
        <v>57</v>
      </c>
      <c r="C12" s="7" t="s">
        <v>58</v>
      </c>
      <c r="D12" s="7" t="s">
        <v>58</v>
      </c>
      <c r="E12" s="7" t="s">
        <v>59</v>
      </c>
      <c r="F12" s="7" t="s">
        <v>60</v>
      </c>
      <c r="G12" s="7" t="s">
        <v>61</v>
      </c>
      <c r="H12" s="7" t="s">
        <v>60</v>
      </c>
      <c r="I12" s="7" t="s">
        <v>60</v>
      </c>
      <c r="J12" s="7" t="s">
        <v>62</v>
      </c>
      <c r="K12" s="7" t="s">
        <v>63</v>
      </c>
      <c r="L12" s="7" t="s">
        <v>64</v>
      </c>
      <c r="M12" s="7" t="s">
        <v>65</v>
      </c>
      <c r="N12" s="7" t="s">
        <v>58</v>
      </c>
      <c r="O12" s="7" t="s">
        <v>66</v>
      </c>
      <c r="P12" s="7" t="s">
        <v>58</v>
      </c>
      <c r="Q12" s="7" t="s">
        <v>58</v>
      </c>
      <c r="R12" s="7" t="s">
        <v>58</v>
      </c>
      <c r="S12" s="7" t="s">
        <v>58</v>
      </c>
      <c r="T12" s="7" t="s">
        <v>58</v>
      </c>
      <c r="U12" s="7" t="s">
        <v>58</v>
      </c>
      <c r="V12" s="7" t="s">
        <v>58</v>
      </c>
      <c r="W12" s="7" t="s">
        <v>58</v>
      </c>
      <c r="X12" s="7" t="s">
        <v>58</v>
      </c>
      <c r="Y12" s="7" t="s">
        <v>66</v>
      </c>
      <c r="Z12" s="7" t="s">
        <v>58</v>
      </c>
      <c r="AA12" s="7" t="s">
        <v>58</v>
      </c>
      <c r="AB12" s="7" t="s">
        <v>58</v>
      </c>
      <c r="AC12" s="7" t="s">
        <v>67</v>
      </c>
      <c r="AD12" s="7" t="s">
        <v>66</v>
      </c>
      <c r="AE12" s="7" t="s">
        <v>58</v>
      </c>
      <c r="AF12" s="7" t="s">
        <v>58</v>
      </c>
      <c r="AG12" s="7" t="s">
        <v>58</v>
      </c>
      <c r="AH12" s="7" t="s">
        <v>58</v>
      </c>
      <c r="AI12" s="7" t="s">
        <v>68</v>
      </c>
      <c r="AJ12" s="7" t="s">
        <v>69</v>
      </c>
      <c r="AK12" s="7" t="s">
        <v>69</v>
      </c>
      <c r="AL12" s="7">
        <v>4.0</v>
      </c>
      <c r="AM12" s="7">
        <v>5.0</v>
      </c>
      <c r="AN12" s="7">
        <v>2.0</v>
      </c>
      <c r="AO12" s="7">
        <v>2.0</v>
      </c>
      <c r="AP12" s="7">
        <v>5.0</v>
      </c>
      <c r="AQ12" s="7">
        <v>3.0</v>
      </c>
      <c r="AR12" s="7">
        <v>1.0</v>
      </c>
      <c r="AS12" s="7">
        <v>4.0</v>
      </c>
      <c r="AT12" s="7">
        <v>2.0</v>
      </c>
      <c r="AU12" s="7">
        <v>4.0</v>
      </c>
      <c r="AV12" s="7">
        <v>2.0</v>
      </c>
      <c r="AW12" s="7">
        <v>4.0</v>
      </c>
      <c r="AX12" s="7">
        <v>2.0</v>
      </c>
      <c r="AY12" s="7">
        <v>3.0</v>
      </c>
      <c r="AZ12" s="7">
        <v>3.0</v>
      </c>
      <c r="BA12" s="7">
        <v>4.0</v>
      </c>
      <c r="BB12" s="7" t="s">
        <v>70</v>
      </c>
      <c r="BC12" s="7">
        <v>6.0</v>
      </c>
      <c r="BD12" s="7">
        <v>8.0</v>
      </c>
      <c r="BE12" s="7" t="s">
        <v>207</v>
      </c>
    </row>
    <row r="13" ht="22.5" customHeight="1">
      <c r="A13" s="6">
        <v>46024.74343158565</v>
      </c>
      <c r="B13" s="7" t="s">
        <v>57</v>
      </c>
      <c r="C13" s="7" t="s">
        <v>58</v>
      </c>
      <c r="D13" s="7" t="s">
        <v>58</v>
      </c>
      <c r="E13" s="7" t="s">
        <v>59</v>
      </c>
      <c r="F13" s="7" t="s">
        <v>60</v>
      </c>
      <c r="G13" s="7" t="s">
        <v>61</v>
      </c>
      <c r="H13" s="7" t="s">
        <v>60</v>
      </c>
      <c r="I13" s="7" t="s">
        <v>60</v>
      </c>
      <c r="J13" s="7" t="s">
        <v>62</v>
      </c>
      <c r="K13" s="7" t="s">
        <v>63</v>
      </c>
      <c r="L13" s="7" t="s">
        <v>64</v>
      </c>
      <c r="M13" s="7" t="s">
        <v>65</v>
      </c>
      <c r="N13" s="7" t="s">
        <v>58</v>
      </c>
      <c r="O13" s="7" t="s">
        <v>66</v>
      </c>
      <c r="P13" s="7" t="s">
        <v>58</v>
      </c>
      <c r="Q13" s="7" t="s">
        <v>58</v>
      </c>
      <c r="R13" s="7" t="s">
        <v>58</v>
      </c>
      <c r="S13" s="7" t="s">
        <v>58</v>
      </c>
      <c r="T13" s="7" t="s">
        <v>58</v>
      </c>
      <c r="U13" s="7" t="s">
        <v>58</v>
      </c>
      <c r="V13" s="7" t="s">
        <v>58</v>
      </c>
      <c r="W13" s="7" t="s">
        <v>58</v>
      </c>
      <c r="X13" s="7" t="s">
        <v>58</v>
      </c>
      <c r="Y13" s="7" t="s">
        <v>66</v>
      </c>
      <c r="Z13" s="7" t="s">
        <v>58</v>
      </c>
      <c r="AA13" s="7" t="s">
        <v>58</v>
      </c>
      <c r="AB13" s="7" t="s">
        <v>58</v>
      </c>
      <c r="AC13" s="7" t="s">
        <v>58</v>
      </c>
      <c r="AD13" s="7" t="s">
        <v>66</v>
      </c>
      <c r="AE13" s="7" t="s">
        <v>58</v>
      </c>
      <c r="AF13" s="7" t="s">
        <v>58</v>
      </c>
      <c r="AG13" s="7" t="s">
        <v>58</v>
      </c>
      <c r="AH13" s="7" t="s">
        <v>58</v>
      </c>
      <c r="AI13" s="7" t="s">
        <v>77</v>
      </c>
      <c r="AJ13" s="7" t="s">
        <v>69</v>
      </c>
      <c r="AK13" s="7" t="s">
        <v>69</v>
      </c>
      <c r="AL13" s="7">
        <v>1.0</v>
      </c>
      <c r="AM13" s="7">
        <v>3.0</v>
      </c>
      <c r="AN13" s="7">
        <v>3.0</v>
      </c>
      <c r="AO13" s="7">
        <v>2.0</v>
      </c>
      <c r="AP13" s="7">
        <v>4.0</v>
      </c>
      <c r="AQ13" s="7">
        <v>1.0</v>
      </c>
      <c r="AR13" s="7">
        <v>5.0</v>
      </c>
      <c r="AS13" s="7">
        <v>5.0</v>
      </c>
      <c r="AT13" s="7">
        <v>1.0</v>
      </c>
      <c r="AU13" s="7">
        <v>5.0</v>
      </c>
      <c r="AV13" s="7">
        <v>1.0</v>
      </c>
      <c r="AW13" s="7">
        <v>5.0</v>
      </c>
      <c r="AX13" s="7">
        <v>1.0</v>
      </c>
      <c r="AY13" s="7">
        <v>5.0</v>
      </c>
      <c r="AZ13" s="7">
        <v>1.0</v>
      </c>
      <c r="BA13" s="7">
        <v>5.0</v>
      </c>
      <c r="BB13" s="7" t="s">
        <v>70</v>
      </c>
      <c r="BC13" s="7">
        <v>4.0</v>
      </c>
      <c r="BD13" s="7">
        <v>3.0</v>
      </c>
      <c r="BE13" s="7" t="s">
        <v>208</v>
      </c>
    </row>
    <row r="14" ht="22.5" customHeight="1">
      <c r="A14" s="6">
        <v>46024.91897305555</v>
      </c>
      <c r="B14" s="7" t="s">
        <v>57</v>
      </c>
      <c r="C14" s="7" t="s">
        <v>58</v>
      </c>
      <c r="D14" s="7" t="s">
        <v>58</v>
      </c>
      <c r="E14" s="7" t="s">
        <v>59</v>
      </c>
      <c r="F14" s="7" t="s">
        <v>60</v>
      </c>
      <c r="G14" s="7" t="s">
        <v>61</v>
      </c>
      <c r="H14" s="7" t="s">
        <v>60</v>
      </c>
      <c r="I14" s="7" t="s">
        <v>60</v>
      </c>
      <c r="J14" s="7" t="s">
        <v>62</v>
      </c>
      <c r="K14" s="7" t="s">
        <v>63</v>
      </c>
      <c r="L14" s="7" t="s">
        <v>64</v>
      </c>
      <c r="M14" s="7" t="s">
        <v>97</v>
      </c>
      <c r="N14" s="7" t="s">
        <v>67</v>
      </c>
      <c r="O14" s="7" t="s">
        <v>66</v>
      </c>
      <c r="P14" s="7" t="s">
        <v>58</v>
      </c>
      <c r="Q14" s="7" t="s">
        <v>67</v>
      </c>
      <c r="R14" s="7" t="s">
        <v>58</v>
      </c>
      <c r="S14" s="7" t="s">
        <v>67</v>
      </c>
      <c r="T14" s="7" t="s">
        <v>67</v>
      </c>
      <c r="U14" s="7" t="s">
        <v>58</v>
      </c>
      <c r="V14" s="7" t="s">
        <v>67</v>
      </c>
      <c r="W14" s="7" t="s">
        <v>58</v>
      </c>
      <c r="X14" s="7" t="s">
        <v>58</v>
      </c>
      <c r="Y14" s="7" t="s">
        <v>66</v>
      </c>
      <c r="Z14" s="7" t="s">
        <v>58</v>
      </c>
      <c r="AA14" s="7" t="s">
        <v>58</v>
      </c>
      <c r="AB14" s="7" t="s">
        <v>58</v>
      </c>
      <c r="AC14" s="7" t="s">
        <v>58</v>
      </c>
      <c r="AD14" s="7" t="s">
        <v>66</v>
      </c>
      <c r="AE14" s="7" t="s">
        <v>58</v>
      </c>
      <c r="AF14" s="7" t="s">
        <v>58</v>
      </c>
      <c r="AG14" s="7" t="s">
        <v>58</v>
      </c>
      <c r="AH14" s="7" t="s">
        <v>58</v>
      </c>
      <c r="AI14" s="7" t="s">
        <v>77</v>
      </c>
      <c r="AJ14" s="7" t="s">
        <v>69</v>
      </c>
      <c r="AK14" s="7" t="s">
        <v>69</v>
      </c>
      <c r="AL14" s="7">
        <v>5.0</v>
      </c>
      <c r="AM14" s="7">
        <v>5.0</v>
      </c>
      <c r="AN14" s="7">
        <v>5.0</v>
      </c>
      <c r="AO14" s="7">
        <v>5.0</v>
      </c>
      <c r="AP14" s="7">
        <v>5.0</v>
      </c>
      <c r="AQ14" s="7">
        <v>5.0</v>
      </c>
      <c r="AR14" s="7">
        <v>5.0</v>
      </c>
      <c r="AS14" s="7">
        <v>5.0</v>
      </c>
      <c r="AT14" s="7">
        <v>5.0</v>
      </c>
      <c r="AU14" s="7">
        <v>5.0</v>
      </c>
      <c r="AV14" s="7">
        <v>5.0</v>
      </c>
      <c r="AW14" s="7">
        <v>5.0</v>
      </c>
      <c r="AX14" s="7">
        <v>5.0</v>
      </c>
      <c r="AY14" s="7">
        <v>5.0</v>
      </c>
      <c r="AZ14" s="7">
        <v>5.0</v>
      </c>
      <c r="BA14" s="7">
        <v>5.0</v>
      </c>
      <c r="BB14" s="7" t="s">
        <v>70</v>
      </c>
      <c r="BC14" s="7">
        <v>4.0</v>
      </c>
      <c r="BD14" s="7">
        <v>4.0</v>
      </c>
      <c r="BE14" s="7" t="s">
        <v>209</v>
      </c>
    </row>
    <row r="15" ht="22.5" customHeight="1">
      <c r="A15" s="6">
        <v>46025.508669710645</v>
      </c>
      <c r="B15" s="7" t="s">
        <v>57</v>
      </c>
      <c r="C15" s="7" t="s">
        <v>58</v>
      </c>
      <c r="D15" s="7" t="s">
        <v>58</v>
      </c>
      <c r="E15" s="7" t="s">
        <v>59</v>
      </c>
      <c r="F15" s="7" t="s">
        <v>60</v>
      </c>
      <c r="G15" s="7" t="s">
        <v>61</v>
      </c>
      <c r="H15" s="7" t="s">
        <v>60</v>
      </c>
      <c r="I15" s="7" t="s">
        <v>60</v>
      </c>
      <c r="J15" s="7" t="s">
        <v>62</v>
      </c>
      <c r="K15" s="7" t="s">
        <v>63</v>
      </c>
      <c r="L15" s="7" t="s">
        <v>64</v>
      </c>
      <c r="M15" s="7" t="s">
        <v>65</v>
      </c>
      <c r="N15" s="7" t="s">
        <v>67</v>
      </c>
      <c r="O15" s="7" t="s">
        <v>66</v>
      </c>
      <c r="P15" s="7" t="s">
        <v>58</v>
      </c>
      <c r="Q15" s="7" t="s">
        <v>58</v>
      </c>
      <c r="R15" s="7" t="s">
        <v>67</v>
      </c>
      <c r="S15" s="7" t="s">
        <v>67</v>
      </c>
      <c r="T15" s="7" t="s">
        <v>58</v>
      </c>
      <c r="U15" s="7" t="s">
        <v>67</v>
      </c>
      <c r="V15" s="7" t="s">
        <v>67</v>
      </c>
      <c r="W15" s="7" t="s">
        <v>58</v>
      </c>
      <c r="X15" s="7" t="s">
        <v>67</v>
      </c>
      <c r="Y15" s="7" t="s">
        <v>66</v>
      </c>
      <c r="Z15" s="7" t="s">
        <v>67</v>
      </c>
      <c r="AA15" s="7" t="s">
        <v>67</v>
      </c>
      <c r="AB15" s="7" t="s">
        <v>67</v>
      </c>
      <c r="AC15" s="7" t="s">
        <v>67</v>
      </c>
      <c r="AD15" s="7" t="s">
        <v>66</v>
      </c>
      <c r="AE15" s="7" t="s">
        <v>58</v>
      </c>
      <c r="AF15" s="7" t="s">
        <v>67</v>
      </c>
      <c r="AG15" s="7" t="s">
        <v>67</v>
      </c>
      <c r="AH15" s="7" t="s">
        <v>58</v>
      </c>
      <c r="AI15" s="7" t="s">
        <v>68</v>
      </c>
      <c r="AJ15" s="7" t="s">
        <v>68</v>
      </c>
      <c r="AK15" s="7" t="s">
        <v>73</v>
      </c>
      <c r="AL15" s="7">
        <v>3.0</v>
      </c>
      <c r="AM15" s="7">
        <v>2.0</v>
      </c>
      <c r="AN15" s="7">
        <v>2.0</v>
      </c>
      <c r="AO15" s="7">
        <v>2.0</v>
      </c>
      <c r="AP15" s="7">
        <v>4.0</v>
      </c>
      <c r="AQ15" s="7">
        <v>4.0</v>
      </c>
      <c r="AR15" s="7">
        <v>5.0</v>
      </c>
      <c r="AS15" s="7">
        <v>5.0</v>
      </c>
      <c r="AT15" s="7">
        <v>1.0</v>
      </c>
      <c r="AU15" s="7">
        <v>5.0</v>
      </c>
      <c r="AV15" s="7">
        <v>4.0</v>
      </c>
      <c r="AW15" s="7">
        <v>5.0</v>
      </c>
      <c r="AX15" s="7">
        <v>3.0</v>
      </c>
      <c r="AY15" s="7">
        <v>4.0</v>
      </c>
      <c r="AZ15" s="7">
        <v>5.0</v>
      </c>
      <c r="BA15" s="7">
        <v>5.0</v>
      </c>
      <c r="BB15" s="7" t="s">
        <v>70</v>
      </c>
      <c r="BC15" s="7">
        <v>4.0</v>
      </c>
      <c r="BD15" s="7">
        <v>3.0</v>
      </c>
      <c r="BE15" s="7" t="s">
        <v>210</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7.13"/>
    <col customWidth="1" min="6" max="48" width="37.63"/>
    <col customWidth="1" min="49" max="49" width="31.5"/>
    <col customWidth="1" min="50" max="53" width="37.63"/>
    <col customWidth="1" min="54" max="54" width="18.88"/>
    <col customWidth="1" min="55" max="56" width="37.63"/>
    <col customWidth="1" min="57" max="63"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33</v>
      </c>
      <c r="AF1" s="3" t="s">
        <v>30</v>
      </c>
      <c r="AG1" s="3" t="s">
        <v>31</v>
      </c>
      <c r="AH1" s="3" t="s">
        <v>32</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ht="22.5" customHeight="1">
      <c r="A2" s="4">
        <v>46020.62310200231</v>
      </c>
      <c r="B2" s="5" t="s">
        <v>57</v>
      </c>
      <c r="C2" s="5" t="s">
        <v>58</v>
      </c>
      <c r="D2" s="5" t="s">
        <v>58</v>
      </c>
      <c r="E2" s="5" t="s">
        <v>59</v>
      </c>
      <c r="F2" s="5" t="s">
        <v>60</v>
      </c>
      <c r="G2" s="5" t="s">
        <v>61</v>
      </c>
      <c r="H2" s="5" t="s">
        <v>60</v>
      </c>
      <c r="I2" s="5" t="s">
        <v>60</v>
      </c>
      <c r="J2" s="5" t="s">
        <v>62</v>
      </c>
      <c r="K2" s="5" t="s">
        <v>63</v>
      </c>
      <c r="L2" s="5" t="s">
        <v>64</v>
      </c>
      <c r="M2" s="5" t="s">
        <v>65</v>
      </c>
      <c r="N2" s="5" t="s">
        <v>58</v>
      </c>
      <c r="O2" s="5" t="s">
        <v>67</v>
      </c>
      <c r="P2" s="5" t="s">
        <v>58</v>
      </c>
      <c r="Q2" s="5" t="s">
        <v>67</v>
      </c>
      <c r="R2" s="5" t="s">
        <v>58</v>
      </c>
      <c r="S2" s="5" t="s">
        <v>58</v>
      </c>
      <c r="T2" s="5" t="s">
        <v>58</v>
      </c>
      <c r="U2" s="5" t="s">
        <v>58</v>
      </c>
      <c r="V2" s="5" t="s">
        <v>58</v>
      </c>
      <c r="W2" s="5" t="s">
        <v>58</v>
      </c>
      <c r="X2" s="5" t="s">
        <v>58</v>
      </c>
      <c r="Y2" s="5" t="s">
        <v>58</v>
      </c>
      <c r="Z2" s="5" t="s">
        <v>66</v>
      </c>
      <c r="AA2" s="5" t="s">
        <v>67</v>
      </c>
      <c r="AB2" s="5" t="s">
        <v>67</v>
      </c>
      <c r="AC2" s="5" t="s">
        <v>58</v>
      </c>
      <c r="AD2" s="5" t="s">
        <v>58</v>
      </c>
      <c r="AE2" s="5" t="s">
        <v>58</v>
      </c>
      <c r="AF2" s="5" t="s">
        <v>67</v>
      </c>
      <c r="AG2" s="5" t="s">
        <v>58</v>
      </c>
      <c r="AH2" s="5" t="s">
        <v>67</v>
      </c>
      <c r="AI2" s="5" t="s">
        <v>77</v>
      </c>
      <c r="AJ2" s="5" t="s">
        <v>69</v>
      </c>
      <c r="AK2" s="5" t="s">
        <v>73</v>
      </c>
      <c r="AL2" s="5">
        <v>3.0</v>
      </c>
      <c r="AM2" s="5">
        <v>4.0</v>
      </c>
      <c r="AN2" s="5">
        <v>4.0</v>
      </c>
      <c r="AO2" s="5">
        <v>2.0</v>
      </c>
      <c r="AP2" s="5">
        <v>4.0</v>
      </c>
      <c r="AQ2" s="5">
        <v>3.0</v>
      </c>
      <c r="AR2" s="5">
        <v>4.0</v>
      </c>
      <c r="AS2" s="5">
        <v>4.0</v>
      </c>
      <c r="AT2" s="5">
        <v>1.0</v>
      </c>
      <c r="AU2" s="5">
        <v>4.0</v>
      </c>
      <c r="AV2" s="5">
        <v>3.0</v>
      </c>
      <c r="AW2" s="5">
        <v>3.0</v>
      </c>
      <c r="AX2" s="5">
        <v>3.0</v>
      </c>
      <c r="AY2" s="5">
        <v>4.0</v>
      </c>
      <c r="AZ2" s="5">
        <v>1.0</v>
      </c>
      <c r="BA2" s="5">
        <v>3.0</v>
      </c>
      <c r="BB2" s="5" t="s">
        <v>70</v>
      </c>
      <c r="BC2" s="5">
        <v>4.0</v>
      </c>
      <c r="BD2" s="5">
        <v>4.0</v>
      </c>
      <c r="BE2" s="5" t="s">
        <v>211</v>
      </c>
    </row>
    <row r="3" ht="22.5" customHeight="1">
      <c r="A3" s="4">
        <v>46020.64496402778</v>
      </c>
      <c r="B3" s="5" t="s">
        <v>57</v>
      </c>
      <c r="C3" s="5" t="s">
        <v>58</v>
      </c>
      <c r="D3" s="5" t="s">
        <v>58</v>
      </c>
      <c r="E3" s="5" t="s">
        <v>59</v>
      </c>
      <c r="F3" s="5" t="s">
        <v>60</v>
      </c>
      <c r="G3" s="5" t="s">
        <v>61</v>
      </c>
      <c r="H3" s="5" t="s">
        <v>60</v>
      </c>
      <c r="I3" s="5" t="s">
        <v>60</v>
      </c>
      <c r="J3" s="5" t="s">
        <v>62</v>
      </c>
      <c r="K3" s="5" t="s">
        <v>63</v>
      </c>
      <c r="L3" s="5" t="s">
        <v>64</v>
      </c>
      <c r="M3" s="5" t="s">
        <v>65</v>
      </c>
      <c r="N3" s="5" t="s">
        <v>67</v>
      </c>
      <c r="O3" s="5" t="s">
        <v>58</v>
      </c>
      <c r="P3" s="5" t="s">
        <v>66</v>
      </c>
      <c r="Q3" s="5" t="s">
        <v>58</v>
      </c>
      <c r="R3" s="5" t="s">
        <v>67</v>
      </c>
      <c r="S3" s="5" t="s">
        <v>67</v>
      </c>
      <c r="T3" s="5" t="s">
        <v>67</v>
      </c>
      <c r="U3" s="5" t="s">
        <v>67</v>
      </c>
      <c r="V3" s="5" t="s">
        <v>58</v>
      </c>
      <c r="W3" s="5" t="s">
        <v>58</v>
      </c>
      <c r="X3" s="5" t="s">
        <v>67</v>
      </c>
      <c r="Y3" s="5" t="s">
        <v>58</v>
      </c>
      <c r="Z3" s="5" t="s">
        <v>66</v>
      </c>
      <c r="AA3" s="5" t="s">
        <v>58</v>
      </c>
      <c r="AB3" s="5" t="s">
        <v>67</v>
      </c>
      <c r="AC3" s="5" t="s">
        <v>58</v>
      </c>
      <c r="AD3" s="5" t="s">
        <v>58</v>
      </c>
      <c r="AE3" s="5" t="s">
        <v>66</v>
      </c>
      <c r="AF3" s="5" t="s">
        <v>67</v>
      </c>
      <c r="AG3" s="5" t="s">
        <v>58</v>
      </c>
      <c r="AH3" s="5" t="s">
        <v>58</v>
      </c>
      <c r="AI3" s="5" t="s">
        <v>68</v>
      </c>
      <c r="AJ3" s="5" t="s">
        <v>68</v>
      </c>
      <c r="AK3" s="5" t="s">
        <v>68</v>
      </c>
      <c r="AL3" s="5">
        <v>3.0</v>
      </c>
      <c r="AM3" s="5">
        <v>3.0</v>
      </c>
      <c r="AN3" s="5">
        <v>1.0</v>
      </c>
      <c r="AO3" s="5">
        <v>2.0</v>
      </c>
      <c r="AP3" s="5">
        <v>4.0</v>
      </c>
      <c r="AQ3" s="5">
        <v>3.0</v>
      </c>
      <c r="AR3" s="5">
        <v>1.0</v>
      </c>
      <c r="AS3" s="5">
        <v>5.0</v>
      </c>
      <c r="AT3" s="5">
        <v>1.0</v>
      </c>
      <c r="AU3" s="5">
        <v>5.0</v>
      </c>
      <c r="AV3" s="5">
        <v>1.0</v>
      </c>
      <c r="AW3" s="5">
        <v>5.0</v>
      </c>
      <c r="AX3" s="5">
        <v>1.0</v>
      </c>
      <c r="AY3" s="5">
        <v>5.0</v>
      </c>
      <c r="AZ3" s="5">
        <v>1.0</v>
      </c>
      <c r="BA3" s="5">
        <v>5.0</v>
      </c>
      <c r="BB3" s="5" t="s">
        <v>70</v>
      </c>
      <c r="BC3" s="5">
        <v>2.0</v>
      </c>
      <c r="BD3" s="5">
        <v>5.0</v>
      </c>
      <c r="BE3" s="5" t="s">
        <v>212</v>
      </c>
    </row>
    <row r="4" ht="22.5" customHeight="1">
      <c r="A4" s="4">
        <v>46020.657448032405</v>
      </c>
      <c r="B4" s="5" t="s">
        <v>57</v>
      </c>
      <c r="C4" s="5" t="s">
        <v>58</v>
      </c>
      <c r="D4" s="5" t="s">
        <v>58</v>
      </c>
      <c r="E4" s="5" t="s">
        <v>59</v>
      </c>
      <c r="F4" s="5" t="s">
        <v>60</v>
      </c>
      <c r="G4" s="5" t="s">
        <v>61</v>
      </c>
      <c r="H4" s="5" t="s">
        <v>60</v>
      </c>
      <c r="I4" s="5" t="s">
        <v>60</v>
      </c>
      <c r="J4" s="5" t="s">
        <v>62</v>
      </c>
      <c r="K4" s="5" t="s">
        <v>63</v>
      </c>
      <c r="L4" s="5" t="s">
        <v>64</v>
      </c>
      <c r="M4" s="5" t="s">
        <v>65</v>
      </c>
      <c r="N4" s="5" t="s">
        <v>58</v>
      </c>
      <c r="O4" s="5" t="s">
        <v>58</v>
      </c>
      <c r="P4" s="5" t="s">
        <v>66</v>
      </c>
      <c r="Q4" s="5" t="s">
        <v>58</v>
      </c>
      <c r="R4" s="5" t="s">
        <v>67</v>
      </c>
      <c r="S4" s="5" t="s">
        <v>58</v>
      </c>
      <c r="T4" s="5" t="s">
        <v>58</v>
      </c>
      <c r="U4" s="5" t="s">
        <v>58</v>
      </c>
      <c r="V4" s="5" t="s">
        <v>58</v>
      </c>
      <c r="W4" s="5" t="s">
        <v>58</v>
      </c>
      <c r="X4" s="5" t="s">
        <v>67</v>
      </c>
      <c r="Y4" s="5" t="s">
        <v>58</v>
      </c>
      <c r="Z4" s="5" t="s">
        <v>66</v>
      </c>
      <c r="AA4" s="5" t="s">
        <v>58</v>
      </c>
      <c r="AB4" s="5" t="s">
        <v>67</v>
      </c>
      <c r="AC4" s="5" t="s">
        <v>58</v>
      </c>
      <c r="AD4" s="5" t="s">
        <v>58</v>
      </c>
      <c r="AE4" s="5" t="s">
        <v>66</v>
      </c>
      <c r="AF4" s="5" t="s">
        <v>67</v>
      </c>
      <c r="AG4" s="5" t="s">
        <v>58</v>
      </c>
      <c r="AH4" s="5" t="s">
        <v>58</v>
      </c>
      <c r="AI4" s="5" t="s">
        <v>77</v>
      </c>
      <c r="AJ4" s="5" t="s">
        <v>69</v>
      </c>
      <c r="AK4" s="5" t="s">
        <v>69</v>
      </c>
      <c r="AL4" s="5">
        <v>3.0</v>
      </c>
      <c r="AM4" s="5">
        <v>4.0</v>
      </c>
      <c r="AN4" s="5">
        <v>2.0</v>
      </c>
      <c r="AO4" s="5">
        <v>1.0</v>
      </c>
      <c r="AP4" s="5">
        <v>4.0</v>
      </c>
      <c r="AQ4" s="5">
        <v>3.0</v>
      </c>
      <c r="AR4" s="5">
        <v>1.0</v>
      </c>
      <c r="AS4" s="5">
        <v>4.0</v>
      </c>
      <c r="AT4" s="5">
        <v>1.0</v>
      </c>
      <c r="AU4" s="5">
        <v>4.0</v>
      </c>
      <c r="AV4" s="5">
        <v>1.0</v>
      </c>
      <c r="AW4" s="5">
        <v>4.0</v>
      </c>
      <c r="AX4" s="5">
        <v>1.0</v>
      </c>
      <c r="AY4" s="5">
        <v>5.0</v>
      </c>
      <c r="AZ4" s="5">
        <v>1.0</v>
      </c>
      <c r="BA4" s="5">
        <v>4.0</v>
      </c>
      <c r="BB4" s="5" t="s">
        <v>70</v>
      </c>
      <c r="BC4" s="5">
        <v>2.0</v>
      </c>
      <c r="BD4" s="5">
        <v>5.0</v>
      </c>
      <c r="BE4" s="5" t="s">
        <v>213</v>
      </c>
    </row>
    <row r="5" ht="22.5" customHeight="1">
      <c r="A5" s="4">
        <v>46020.65839070602</v>
      </c>
      <c r="B5" s="5" t="s">
        <v>57</v>
      </c>
      <c r="C5" s="5" t="s">
        <v>58</v>
      </c>
      <c r="D5" s="5" t="s">
        <v>58</v>
      </c>
      <c r="E5" s="5" t="s">
        <v>59</v>
      </c>
      <c r="F5" s="5" t="s">
        <v>60</v>
      </c>
      <c r="G5" s="5" t="s">
        <v>61</v>
      </c>
      <c r="H5" s="5" t="s">
        <v>60</v>
      </c>
      <c r="I5" s="5" t="s">
        <v>60</v>
      </c>
      <c r="J5" s="5" t="s">
        <v>62</v>
      </c>
      <c r="K5" s="5" t="s">
        <v>63</v>
      </c>
      <c r="L5" s="5" t="s">
        <v>64</v>
      </c>
      <c r="M5" s="5" t="s">
        <v>65</v>
      </c>
      <c r="N5" s="5" t="s">
        <v>67</v>
      </c>
      <c r="O5" s="5" t="s">
        <v>58</v>
      </c>
      <c r="P5" s="5" t="s">
        <v>67</v>
      </c>
      <c r="Q5" s="5" t="s">
        <v>58</v>
      </c>
      <c r="R5" s="5" t="s">
        <v>67</v>
      </c>
      <c r="S5" s="5" t="s">
        <v>58</v>
      </c>
      <c r="T5" s="5" t="s">
        <v>58</v>
      </c>
      <c r="U5" s="5" t="s">
        <v>67</v>
      </c>
      <c r="V5" s="5" t="s">
        <v>58</v>
      </c>
      <c r="W5" s="5" t="s">
        <v>58</v>
      </c>
      <c r="X5" s="5" t="s">
        <v>67</v>
      </c>
      <c r="Y5" s="5" t="s">
        <v>58</v>
      </c>
      <c r="Z5" s="5" t="s">
        <v>66</v>
      </c>
      <c r="AA5" s="5" t="s">
        <v>58</v>
      </c>
      <c r="AB5" s="5" t="s">
        <v>67</v>
      </c>
      <c r="AC5" s="5" t="s">
        <v>58</v>
      </c>
      <c r="AD5" s="5" t="s">
        <v>58</v>
      </c>
      <c r="AE5" s="5" t="s">
        <v>66</v>
      </c>
      <c r="AF5" s="5" t="s">
        <v>58</v>
      </c>
      <c r="AG5" s="5" t="s">
        <v>58</v>
      </c>
      <c r="AH5" s="5" t="s">
        <v>58</v>
      </c>
      <c r="AI5" s="5" t="s">
        <v>68</v>
      </c>
      <c r="AJ5" s="5" t="s">
        <v>69</v>
      </c>
      <c r="AK5" s="5" t="s">
        <v>69</v>
      </c>
      <c r="AL5" s="5">
        <v>3.0</v>
      </c>
      <c r="AM5" s="5">
        <v>4.0</v>
      </c>
      <c r="AN5" s="5">
        <v>1.0</v>
      </c>
      <c r="AO5" s="5">
        <v>1.0</v>
      </c>
      <c r="AP5" s="5">
        <v>4.0</v>
      </c>
      <c r="AQ5" s="5">
        <v>4.0</v>
      </c>
      <c r="AR5" s="5">
        <v>1.0</v>
      </c>
      <c r="AS5" s="5">
        <v>5.0</v>
      </c>
      <c r="AT5" s="5">
        <v>3.0</v>
      </c>
      <c r="AU5" s="5">
        <v>5.0</v>
      </c>
      <c r="AV5" s="5">
        <v>2.0</v>
      </c>
      <c r="AW5" s="5">
        <v>5.0</v>
      </c>
      <c r="AX5" s="5">
        <v>1.0</v>
      </c>
      <c r="AY5" s="5">
        <v>5.0</v>
      </c>
      <c r="AZ5" s="5">
        <v>2.0</v>
      </c>
      <c r="BA5" s="5">
        <v>5.0</v>
      </c>
      <c r="BB5" s="5" t="s">
        <v>70</v>
      </c>
      <c r="BC5" s="5">
        <v>5.0</v>
      </c>
      <c r="BD5" s="5">
        <v>5.0</v>
      </c>
      <c r="BE5" s="5" t="s">
        <v>214</v>
      </c>
    </row>
    <row r="6" ht="22.5" customHeight="1">
      <c r="A6" s="4">
        <v>46020.66084506945</v>
      </c>
      <c r="B6" s="5" t="s">
        <v>57</v>
      </c>
      <c r="C6" s="5" t="s">
        <v>58</v>
      </c>
      <c r="D6" s="5" t="s">
        <v>58</v>
      </c>
      <c r="E6" s="5" t="s">
        <v>59</v>
      </c>
      <c r="F6" s="5" t="s">
        <v>60</v>
      </c>
      <c r="G6" s="5" t="s">
        <v>61</v>
      </c>
      <c r="H6" s="5" t="s">
        <v>60</v>
      </c>
      <c r="I6" s="5" t="s">
        <v>60</v>
      </c>
      <c r="J6" s="5" t="s">
        <v>62</v>
      </c>
      <c r="K6" s="5" t="s">
        <v>63</v>
      </c>
      <c r="L6" s="5" t="s">
        <v>64</v>
      </c>
      <c r="M6" s="5" t="s">
        <v>65</v>
      </c>
      <c r="N6" s="5" t="s">
        <v>58</v>
      </c>
      <c r="O6" s="5" t="s">
        <v>58</v>
      </c>
      <c r="P6" s="5" t="s">
        <v>66</v>
      </c>
      <c r="Q6" s="5" t="s">
        <v>58</v>
      </c>
      <c r="R6" s="5" t="s">
        <v>58</v>
      </c>
      <c r="S6" s="5" t="s">
        <v>58</v>
      </c>
      <c r="T6" s="5" t="s">
        <v>58</v>
      </c>
      <c r="U6" s="5" t="s">
        <v>58</v>
      </c>
      <c r="V6" s="5" t="s">
        <v>58</v>
      </c>
      <c r="W6" s="5" t="s">
        <v>58</v>
      </c>
      <c r="X6" s="5" t="s">
        <v>58</v>
      </c>
      <c r="Y6" s="5" t="s">
        <v>58</v>
      </c>
      <c r="Z6" s="5" t="s">
        <v>66</v>
      </c>
      <c r="AA6" s="5" t="s">
        <v>58</v>
      </c>
      <c r="AB6" s="5" t="s">
        <v>67</v>
      </c>
      <c r="AC6" s="5" t="s">
        <v>67</v>
      </c>
      <c r="AD6" s="5" t="s">
        <v>67</v>
      </c>
      <c r="AE6" s="5" t="s">
        <v>66</v>
      </c>
      <c r="AF6" s="5" t="s">
        <v>67</v>
      </c>
      <c r="AG6" s="5" t="s">
        <v>67</v>
      </c>
      <c r="AH6" s="5" t="s">
        <v>67</v>
      </c>
      <c r="AI6" s="5" t="s">
        <v>68</v>
      </c>
      <c r="AJ6" s="5" t="s">
        <v>69</v>
      </c>
      <c r="AK6" s="5" t="s">
        <v>69</v>
      </c>
      <c r="AL6" s="5">
        <v>5.0</v>
      </c>
      <c r="AM6" s="5">
        <v>4.0</v>
      </c>
      <c r="AN6" s="5">
        <v>1.0</v>
      </c>
      <c r="AO6" s="5">
        <v>2.0</v>
      </c>
      <c r="AP6" s="5">
        <v>4.0</v>
      </c>
      <c r="AQ6" s="5">
        <v>4.0</v>
      </c>
      <c r="AR6" s="5">
        <v>5.0</v>
      </c>
      <c r="AS6" s="5">
        <v>2.0</v>
      </c>
      <c r="AT6" s="5">
        <v>3.0</v>
      </c>
      <c r="AU6" s="5">
        <v>2.0</v>
      </c>
      <c r="AV6" s="5">
        <v>4.0</v>
      </c>
      <c r="AW6" s="5">
        <v>2.0</v>
      </c>
      <c r="AX6" s="5">
        <v>4.0</v>
      </c>
      <c r="AY6" s="5">
        <v>3.0</v>
      </c>
      <c r="AZ6" s="5">
        <v>1.0</v>
      </c>
      <c r="BA6" s="5">
        <v>3.0</v>
      </c>
      <c r="BB6" s="5" t="s">
        <v>74</v>
      </c>
      <c r="BC6" s="5">
        <v>7.0</v>
      </c>
      <c r="BD6" s="5">
        <v>7.0</v>
      </c>
      <c r="BE6" s="5" t="s">
        <v>215</v>
      </c>
    </row>
    <row r="7" ht="22.5" customHeight="1">
      <c r="A7" s="4">
        <v>46020.68346554398</v>
      </c>
      <c r="B7" s="5" t="s">
        <v>57</v>
      </c>
      <c r="C7" s="5" t="s">
        <v>58</v>
      </c>
      <c r="D7" s="5" t="s">
        <v>58</v>
      </c>
      <c r="E7" s="5" t="s">
        <v>59</v>
      </c>
      <c r="F7" s="5" t="s">
        <v>60</v>
      </c>
      <c r="G7" s="5" t="s">
        <v>61</v>
      </c>
      <c r="H7" s="5" t="s">
        <v>60</v>
      </c>
      <c r="I7" s="5" t="s">
        <v>60</v>
      </c>
      <c r="J7" s="5" t="s">
        <v>62</v>
      </c>
      <c r="K7" s="5" t="s">
        <v>63</v>
      </c>
      <c r="L7" s="5" t="s">
        <v>64</v>
      </c>
      <c r="M7" s="5" t="s">
        <v>65</v>
      </c>
      <c r="N7" s="5" t="s">
        <v>67</v>
      </c>
      <c r="O7" s="5" t="s">
        <v>67</v>
      </c>
      <c r="P7" s="5" t="s">
        <v>66</v>
      </c>
      <c r="Q7" s="5" t="s">
        <v>58</v>
      </c>
      <c r="R7" s="5" t="s">
        <v>67</v>
      </c>
      <c r="S7" s="5" t="s">
        <v>58</v>
      </c>
      <c r="T7" s="5" t="s">
        <v>58</v>
      </c>
      <c r="U7" s="5" t="s">
        <v>67</v>
      </c>
      <c r="V7" s="5" t="s">
        <v>58</v>
      </c>
      <c r="W7" s="5" t="s">
        <v>58</v>
      </c>
      <c r="X7" s="5" t="s">
        <v>67</v>
      </c>
      <c r="Y7" s="5" t="s">
        <v>58</v>
      </c>
      <c r="Z7" s="5" t="s">
        <v>66</v>
      </c>
      <c r="AA7" s="5" t="s">
        <v>58</v>
      </c>
      <c r="AB7" s="5" t="s">
        <v>67</v>
      </c>
      <c r="AC7" s="5" t="s">
        <v>58</v>
      </c>
      <c r="AD7" s="5" t="s">
        <v>58</v>
      </c>
      <c r="AE7" s="5" t="s">
        <v>66</v>
      </c>
      <c r="AF7" s="5" t="s">
        <v>67</v>
      </c>
      <c r="AG7" s="5" t="s">
        <v>58</v>
      </c>
      <c r="AH7" s="5" t="s">
        <v>58</v>
      </c>
      <c r="AI7" s="5" t="s">
        <v>68</v>
      </c>
      <c r="AJ7" s="5" t="s">
        <v>69</v>
      </c>
      <c r="AK7" s="5" t="s">
        <v>69</v>
      </c>
      <c r="AL7" s="5">
        <v>2.0</v>
      </c>
      <c r="AM7" s="5">
        <v>2.0</v>
      </c>
      <c r="AN7" s="5">
        <v>2.0</v>
      </c>
      <c r="AO7" s="5">
        <v>4.0</v>
      </c>
      <c r="AP7" s="5">
        <v>3.0</v>
      </c>
      <c r="AQ7" s="5">
        <v>2.0</v>
      </c>
      <c r="AR7" s="5">
        <v>4.0</v>
      </c>
      <c r="AS7" s="5">
        <v>5.0</v>
      </c>
      <c r="AT7" s="5">
        <v>1.0</v>
      </c>
      <c r="AU7" s="5">
        <v>5.0</v>
      </c>
      <c r="AV7" s="5">
        <v>4.0</v>
      </c>
      <c r="AW7" s="5">
        <v>5.0</v>
      </c>
      <c r="AX7" s="5">
        <v>2.0</v>
      </c>
      <c r="AY7" s="5">
        <v>5.0</v>
      </c>
      <c r="AZ7" s="5">
        <v>1.0</v>
      </c>
      <c r="BA7" s="5">
        <v>5.0</v>
      </c>
      <c r="BB7" s="5" t="s">
        <v>70</v>
      </c>
      <c r="BC7" s="5">
        <v>3.0</v>
      </c>
      <c r="BD7" s="5">
        <v>3.0</v>
      </c>
      <c r="BE7" s="5" t="s">
        <v>216</v>
      </c>
    </row>
    <row r="8" ht="22.5" customHeight="1">
      <c r="A8" s="4">
        <v>46020.948213842596</v>
      </c>
      <c r="B8" s="5" t="s">
        <v>57</v>
      </c>
      <c r="C8" s="5" t="s">
        <v>58</v>
      </c>
      <c r="D8" s="5" t="s">
        <v>58</v>
      </c>
      <c r="E8" s="5" t="s">
        <v>59</v>
      </c>
      <c r="F8" s="5" t="s">
        <v>60</v>
      </c>
      <c r="G8" s="5" t="s">
        <v>61</v>
      </c>
      <c r="H8" s="5" t="s">
        <v>60</v>
      </c>
      <c r="I8" s="5" t="s">
        <v>60</v>
      </c>
      <c r="J8" s="5" t="s">
        <v>62</v>
      </c>
      <c r="K8" s="5" t="s">
        <v>63</v>
      </c>
      <c r="L8" s="5" t="s">
        <v>64</v>
      </c>
      <c r="M8" s="5" t="s">
        <v>65</v>
      </c>
      <c r="N8" s="5" t="s">
        <v>67</v>
      </c>
      <c r="O8" s="5" t="s">
        <v>67</v>
      </c>
      <c r="P8" s="5" t="s">
        <v>66</v>
      </c>
      <c r="Q8" s="5" t="s">
        <v>67</v>
      </c>
      <c r="R8" s="5" t="s">
        <v>67</v>
      </c>
      <c r="S8" s="5" t="s">
        <v>67</v>
      </c>
      <c r="T8" s="5" t="s">
        <v>67</v>
      </c>
      <c r="U8" s="5" t="s">
        <v>67</v>
      </c>
      <c r="V8" s="5" t="s">
        <v>58</v>
      </c>
      <c r="W8" s="5" t="s">
        <v>58</v>
      </c>
      <c r="X8" s="5" t="s">
        <v>67</v>
      </c>
      <c r="Y8" s="5" t="s">
        <v>67</v>
      </c>
      <c r="Z8" s="5" t="s">
        <v>66</v>
      </c>
      <c r="AA8" s="5" t="s">
        <v>67</v>
      </c>
      <c r="AB8" s="5" t="s">
        <v>67</v>
      </c>
      <c r="AC8" s="5" t="s">
        <v>67</v>
      </c>
      <c r="AD8" s="5" t="s">
        <v>58</v>
      </c>
      <c r="AE8" s="5" t="s">
        <v>66</v>
      </c>
      <c r="AF8" s="5" t="s">
        <v>67</v>
      </c>
      <c r="AG8" s="5" t="s">
        <v>67</v>
      </c>
      <c r="AH8" s="5" t="s">
        <v>67</v>
      </c>
      <c r="AI8" s="5" t="s">
        <v>68</v>
      </c>
      <c r="AJ8" s="5" t="s">
        <v>68</v>
      </c>
      <c r="AK8" s="5" t="s">
        <v>68</v>
      </c>
      <c r="AL8" s="5">
        <v>1.0</v>
      </c>
      <c r="AM8" s="5">
        <v>2.0</v>
      </c>
      <c r="AN8" s="5">
        <v>3.0</v>
      </c>
      <c r="AO8" s="5">
        <v>3.0</v>
      </c>
      <c r="AP8" s="5">
        <v>3.0</v>
      </c>
      <c r="AQ8" s="5">
        <v>2.0</v>
      </c>
      <c r="AR8" s="5">
        <v>1.0</v>
      </c>
      <c r="AS8" s="5">
        <v>3.0</v>
      </c>
      <c r="AT8" s="5">
        <v>2.0</v>
      </c>
      <c r="AU8" s="5">
        <v>4.0</v>
      </c>
      <c r="AV8" s="5">
        <v>4.0</v>
      </c>
      <c r="AW8" s="5">
        <v>2.0</v>
      </c>
      <c r="AX8" s="5">
        <v>4.0</v>
      </c>
      <c r="AY8" s="5">
        <v>2.0</v>
      </c>
      <c r="AZ8" s="5">
        <v>2.0</v>
      </c>
      <c r="BA8" s="5">
        <v>4.0</v>
      </c>
      <c r="BB8" s="5" t="s">
        <v>74</v>
      </c>
      <c r="BC8" s="5">
        <v>6.0</v>
      </c>
      <c r="BD8" s="5">
        <v>5.0</v>
      </c>
      <c r="BE8" s="5" t="s">
        <v>217</v>
      </c>
    </row>
    <row r="9" ht="22.5" customHeight="1">
      <c r="A9" s="6">
        <v>46022.6686828588</v>
      </c>
      <c r="B9" s="7" t="s">
        <v>57</v>
      </c>
      <c r="C9" s="7" t="s">
        <v>58</v>
      </c>
      <c r="D9" s="7" t="s">
        <v>58</v>
      </c>
      <c r="E9" s="7" t="s">
        <v>59</v>
      </c>
      <c r="F9" s="7" t="s">
        <v>60</v>
      </c>
      <c r="G9" s="7" t="s">
        <v>61</v>
      </c>
      <c r="H9" s="7" t="s">
        <v>60</v>
      </c>
      <c r="I9" s="7" t="s">
        <v>60</v>
      </c>
      <c r="J9" s="7" t="s">
        <v>62</v>
      </c>
      <c r="K9" s="7" t="s">
        <v>63</v>
      </c>
      <c r="L9" s="7" t="s">
        <v>64</v>
      </c>
      <c r="M9" s="7" t="s">
        <v>65</v>
      </c>
      <c r="N9" s="7" t="s">
        <v>67</v>
      </c>
      <c r="O9" s="7" t="s">
        <v>58</v>
      </c>
      <c r="P9" s="7" t="s">
        <v>66</v>
      </c>
      <c r="Q9" s="7" t="s">
        <v>58</v>
      </c>
      <c r="R9" s="7" t="s">
        <v>67</v>
      </c>
      <c r="S9" s="7" t="s">
        <v>58</v>
      </c>
      <c r="T9" s="7" t="s">
        <v>58</v>
      </c>
      <c r="U9" s="7" t="s">
        <v>67</v>
      </c>
      <c r="V9" s="7" t="s">
        <v>58</v>
      </c>
      <c r="W9" s="7" t="s">
        <v>58</v>
      </c>
      <c r="X9" s="7" t="s">
        <v>67</v>
      </c>
      <c r="Y9" s="7" t="s">
        <v>58</v>
      </c>
      <c r="Z9" s="7" t="s">
        <v>66</v>
      </c>
      <c r="AA9" s="7" t="s">
        <v>58</v>
      </c>
      <c r="AB9" s="7" t="s">
        <v>67</v>
      </c>
      <c r="AC9" s="7" t="s">
        <v>58</v>
      </c>
      <c r="AD9" s="7" t="s">
        <v>58</v>
      </c>
      <c r="AE9" s="7" t="s">
        <v>66</v>
      </c>
      <c r="AF9" s="7" t="s">
        <v>67</v>
      </c>
      <c r="AG9" s="7" t="s">
        <v>58</v>
      </c>
      <c r="AH9" s="7" t="s">
        <v>58</v>
      </c>
      <c r="AI9" s="7" t="s">
        <v>72</v>
      </c>
      <c r="AJ9" s="7" t="s">
        <v>73</v>
      </c>
      <c r="AK9" s="7" t="s">
        <v>69</v>
      </c>
      <c r="AL9" s="7">
        <v>4.0</v>
      </c>
      <c r="AM9" s="7">
        <v>4.0</v>
      </c>
      <c r="AN9" s="7">
        <v>2.0</v>
      </c>
      <c r="AO9" s="7">
        <v>2.0</v>
      </c>
      <c r="AP9" s="7">
        <v>5.0</v>
      </c>
      <c r="AQ9" s="7">
        <v>2.0</v>
      </c>
      <c r="AR9" s="7">
        <v>4.0</v>
      </c>
      <c r="AS9" s="7">
        <v>5.0</v>
      </c>
      <c r="AT9" s="7">
        <v>1.0</v>
      </c>
      <c r="AU9" s="7">
        <v>2.0</v>
      </c>
      <c r="AV9" s="7">
        <v>4.0</v>
      </c>
      <c r="AW9" s="7">
        <v>4.0</v>
      </c>
      <c r="AX9" s="7">
        <v>4.0</v>
      </c>
      <c r="AY9" s="7">
        <v>4.0</v>
      </c>
      <c r="AZ9" s="7">
        <v>1.0</v>
      </c>
      <c r="BA9" s="7">
        <v>3.0</v>
      </c>
      <c r="BB9" s="7" t="s">
        <v>74</v>
      </c>
      <c r="BC9" s="7">
        <v>4.0</v>
      </c>
      <c r="BD9" s="7">
        <v>5.0</v>
      </c>
      <c r="BE9" s="7" t="s">
        <v>218</v>
      </c>
    </row>
    <row r="10" ht="22.5" customHeight="1">
      <c r="A10" s="6">
        <v>46022.72621631944</v>
      </c>
      <c r="B10" s="7" t="s">
        <v>57</v>
      </c>
      <c r="C10" s="7" t="s">
        <v>58</v>
      </c>
      <c r="D10" s="7" t="s">
        <v>58</v>
      </c>
      <c r="E10" s="7" t="s">
        <v>59</v>
      </c>
      <c r="F10" s="7" t="s">
        <v>60</v>
      </c>
      <c r="G10" s="7" t="s">
        <v>61</v>
      </c>
      <c r="H10" s="7" t="s">
        <v>60</v>
      </c>
      <c r="I10" s="7" t="s">
        <v>60</v>
      </c>
      <c r="J10" s="7" t="s">
        <v>62</v>
      </c>
      <c r="K10" s="7" t="s">
        <v>63</v>
      </c>
      <c r="L10" s="7" t="s">
        <v>64</v>
      </c>
      <c r="M10" s="7" t="s">
        <v>65</v>
      </c>
      <c r="N10" s="7" t="s">
        <v>67</v>
      </c>
      <c r="O10" s="7" t="s">
        <v>58</v>
      </c>
      <c r="P10" s="7" t="s">
        <v>66</v>
      </c>
      <c r="Q10" s="7" t="s">
        <v>58</v>
      </c>
      <c r="R10" s="7" t="s">
        <v>67</v>
      </c>
      <c r="S10" s="7" t="s">
        <v>58</v>
      </c>
      <c r="T10" s="7" t="s">
        <v>58</v>
      </c>
      <c r="U10" s="7" t="s">
        <v>67</v>
      </c>
      <c r="V10" s="7" t="s">
        <v>58</v>
      </c>
      <c r="W10" s="7" t="s">
        <v>58</v>
      </c>
      <c r="X10" s="7" t="s">
        <v>67</v>
      </c>
      <c r="Y10" s="7" t="s">
        <v>58</v>
      </c>
      <c r="Z10" s="7" t="s">
        <v>66</v>
      </c>
      <c r="AA10" s="7" t="s">
        <v>58</v>
      </c>
      <c r="AB10" s="7" t="s">
        <v>67</v>
      </c>
      <c r="AC10" s="7" t="s">
        <v>58</v>
      </c>
      <c r="AD10" s="7" t="s">
        <v>58</v>
      </c>
      <c r="AE10" s="7" t="s">
        <v>66</v>
      </c>
      <c r="AF10" s="7" t="s">
        <v>67</v>
      </c>
      <c r="AG10" s="7" t="s">
        <v>58</v>
      </c>
      <c r="AH10" s="7" t="s">
        <v>58</v>
      </c>
      <c r="AI10" s="7" t="s">
        <v>72</v>
      </c>
      <c r="AJ10" s="7" t="s">
        <v>69</v>
      </c>
      <c r="AK10" s="7" t="s">
        <v>69</v>
      </c>
      <c r="AL10" s="7">
        <v>3.0</v>
      </c>
      <c r="AM10" s="7">
        <v>3.0</v>
      </c>
      <c r="AN10" s="7">
        <v>2.0</v>
      </c>
      <c r="AO10" s="7">
        <v>4.0</v>
      </c>
      <c r="AP10" s="7">
        <v>2.0</v>
      </c>
      <c r="AQ10" s="7">
        <v>3.0</v>
      </c>
      <c r="AR10" s="7">
        <v>2.0</v>
      </c>
      <c r="AS10" s="7">
        <v>3.0</v>
      </c>
      <c r="AT10" s="7">
        <v>1.0</v>
      </c>
      <c r="AU10" s="7">
        <v>4.0</v>
      </c>
      <c r="AV10" s="7">
        <v>3.0</v>
      </c>
      <c r="AW10" s="7">
        <v>2.0</v>
      </c>
      <c r="AX10" s="7">
        <v>2.0</v>
      </c>
      <c r="AY10" s="7">
        <v>1.0</v>
      </c>
      <c r="AZ10" s="7">
        <v>2.0</v>
      </c>
      <c r="BA10" s="7">
        <v>1.0</v>
      </c>
      <c r="BB10" s="7" t="s">
        <v>74</v>
      </c>
      <c r="BC10" s="7">
        <v>4.0</v>
      </c>
      <c r="BD10" s="7">
        <v>5.0</v>
      </c>
      <c r="BE10" s="7" t="s">
        <v>219</v>
      </c>
    </row>
    <row r="11" ht="22.5" customHeight="1">
      <c r="A11" s="6">
        <v>46022.75740351852</v>
      </c>
      <c r="B11" s="7" t="s">
        <v>57</v>
      </c>
      <c r="C11" s="7" t="s">
        <v>58</v>
      </c>
      <c r="D11" s="7" t="s">
        <v>58</v>
      </c>
      <c r="E11" s="7" t="s">
        <v>59</v>
      </c>
      <c r="F11" s="7" t="s">
        <v>60</v>
      </c>
      <c r="G11" s="7" t="s">
        <v>61</v>
      </c>
      <c r="H11" s="7" t="s">
        <v>60</v>
      </c>
      <c r="I11" s="7" t="s">
        <v>60</v>
      </c>
      <c r="J11" s="7" t="s">
        <v>62</v>
      </c>
      <c r="K11" s="7" t="s">
        <v>63</v>
      </c>
      <c r="L11" s="7" t="s">
        <v>64</v>
      </c>
      <c r="M11" s="7" t="s">
        <v>97</v>
      </c>
      <c r="N11" s="7" t="s">
        <v>58</v>
      </c>
      <c r="O11" s="7" t="s">
        <v>58</v>
      </c>
      <c r="P11" s="7" t="s">
        <v>66</v>
      </c>
      <c r="Q11" s="7" t="s">
        <v>58</v>
      </c>
      <c r="R11" s="7" t="s">
        <v>67</v>
      </c>
      <c r="S11" s="7" t="s">
        <v>58</v>
      </c>
      <c r="T11" s="7" t="s">
        <v>58</v>
      </c>
      <c r="U11" s="7" t="s">
        <v>58</v>
      </c>
      <c r="V11" s="7" t="s">
        <v>58</v>
      </c>
      <c r="W11" s="7" t="s">
        <v>58</v>
      </c>
      <c r="X11" s="7" t="s">
        <v>67</v>
      </c>
      <c r="Y11" s="7" t="s">
        <v>58</v>
      </c>
      <c r="Z11" s="7" t="s">
        <v>66</v>
      </c>
      <c r="AA11" s="7" t="s">
        <v>58</v>
      </c>
      <c r="AB11" s="7" t="s">
        <v>58</v>
      </c>
      <c r="AC11" s="7" t="s">
        <v>58</v>
      </c>
      <c r="AD11" s="7" t="s">
        <v>58</v>
      </c>
      <c r="AE11" s="7" t="s">
        <v>66</v>
      </c>
      <c r="AF11" s="7" t="s">
        <v>67</v>
      </c>
      <c r="AG11" s="7" t="s">
        <v>58</v>
      </c>
      <c r="AH11" s="7" t="s">
        <v>58</v>
      </c>
      <c r="AI11" s="7" t="s">
        <v>77</v>
      </c>
      <c r="AJ11" s="7" t="s">
        <v>69</v>
      </c>
      <c r="AK11" s="7" t="s">
        <v>69</v>
      </c>
      <c r="AL11" s="7">
        <v>5.0</v>
      </c>
      <c r="AM11" s="7">
        <v>3.0</v>
      </c>
      <c r="AN11" s="7">
        <v>1.0</v>
      </c>
      <c r="AO11" s="7">
        <v>1.0</v>
      </c>
      <c r="AP11" s="7">
        <v>5.0</v>
      </c>
      <c r="AQ11" s="7">
        <v>5.0</v>
      </c>
      <c r="AR11" s="7">
        <v>4.0</v>
      </c>
      <c r="AS11" s="7">
        <v>5.0</v>
      </c>
      <c r="AT11" s="7">
        <v>2.0</v>
      </c>
      <c r="AU11" s="7">
        <v>5.0</v>
      </c>
      <c r="AV11" s="7">
        <v>3.0</v>
      </c>
      <c r="AW11" s="7">
        <v>5.0</v>
      </c>
      <c r="AX11" s="7">
        <v>4.0</v>
      </c>
      <c r="AY11" s="7">
        <v>5.0</v>
      </c>
      <c r="AZ11" s="7">
        <v>1.0</v>
      </c>
      <c r="BA11" s="7">
        <v>5.0</v>
      </c>
      <c r="BB11" s="7" t="s">
        <v>70</v>
      </c>
      <c r="BC11" s="7">
        <v>4.0</v>
      </c>
      <c r="BD11" s="7">
        <v>6.0</v>
      </c>
      <c r="BE11" s="7" t="s">
        <v>220</v>
      </c>
    </row>
    <row r="12" ht="22.5" customHeight="1">
      <c r="A12" s="6">
        <v>46022.85644333334</v>
      </c>
      <c r="B12" s="7" t="s">
        <v>57</v>
      </c>
      <c r="C12" s="7" t="s">
        <v>58</v>
      </c>
      <c r="D12" s="7" t="s">
        <v>58</v>
      </c>
      <c r="E12" s="7" t="s">
        <v>59</v>
      </c>
      <c r="F12" s="7" t="s">
        <v>60</v>
      </c>
      <c r="G12" s="7" t="s">
        <v>61</v>
      </c>
      <c r="H12" s="7" t="s">
        <v>60</v>
      </c>
      <c r="I12" s="7" t="s">
        <v>60</v>
      </c>
      <c r="J12" s="7" t="s">
        <v>62</v>
      </c>
      <c r="K12" s="7" t="s">
        <v>63</v>
      </c>
      <c r="L12" s="7" t="s">
        <v>64</v>
      </c>
      <c r="M12" s="7" t="s">
        <v>65</v>
      </c>
      <c r="N12" s="7" t="s">
        <v>67</v>
      </c>
      <c r="O12" s="7" t="s">
        <v>58</v>
      </c>
      <c r="P12" s="7" t="s">
        <v>58</v>
      </c>
      <c r="Q12" s="7" t="s">
        <v>58</v>
      </c>
      <c r="R12" s="7" t="s">
        <v>67</v>
      </c>
      <c r="S12" s="7" t="s">
        <v>67</v>
      </c>
      <c r="T12" s="7" t="s">
        <v>58</v>
      </c>
      <c r="U12" s="7" t="s">
        <v>58</v>
      </c>
      <c r="V12" s="7" t="s">
        <v>58</v>
      </c>
      <c r="W12" s="7" t="s">
        <v>67</v>
      </c>
      <c r="X12" s="7" t="s">
        <v>58</v>
      </c>
      <c r="Y12" s="7" t="s">
        <v>67</v>
      </c>
      <c r="Z12" s="7" t="s">
        <v>67</v>
      </c>
      <c r="AA12" s="7" t="s">
        <v>58</v>
      </c>
      <c r="AB12" s="7" t="s">
        <v>58</v>
      </c>
      <c r="AC12" s="7" t="s">
        <v>58</v>
      </c>
      <c r="AD12" s="7" t="s">
        <v>67</v>
      </c>
      <c r="AE12" s="7" t="s">
        <v>66</v>
      </c>
      <c r="AF12" s="7" t="s">
        <v>67</v>
      </c>
      <c r="AG12" s="7" t="s">
        <v>58</v>
      </c>
      <c r="AH12" s="7" t="s">
        <v>67</v>
      </c>
      <c r="AI12" s="7" t="s">
        <v>72</v>
      </c>
      <c r="AJ12" s="7" t="s">
        <v>69</v>
      </c>
      <c r="AK12" s="7" t="s">
        <v>68</v>
      </c>
      <c r="AL12" s="7">
        <v>3.0</v>
      </c>
      <c r="AM12" s="7">
        <v>3.0</v>
      </c>
      <c r="AN12" s="7">
        <v>1.0</v>
      </c>
      <c r="AO12" s="7">
        <v>3.0</v>
      </c>
      <c r="AP12" s="7">
        <v>3.0</v>
      </c>
      <c r="AQ12" s="7">
        <v>3.0</v>
      </c>
      <c r="AR12" s="7">
        <v>2.0</v>
      </c>
      <c r="AS12" s="7">
        <v>4.0</v>
      </c>
      <c r="AT12" s="7">
        <v>1.0</v>
      </c>
      <c r="AU12" s="7">
        <v>4.0</v>
      </c>
      <c r="AV12" s="7">
        <v>1.0</v>
      </c>
      <c r="AW12" s="7">
        <v>5.0</v>
      </c>
      <c r="AX12" s="7">
        <v>1.0</v>
      </c>
      <c r="AY12" s="7">
        <v>5.0</v>
      </c>
      <c r="AZ12" s="7">
        <v>1.0</v>
      </c>
      <c r="BA12" s="7">
        <v>4.0</v>
      </c>
      <c r="BB12" s="7" t="s">
        <v>74</v>
      </c>
      <c r="BC12" s="7">
        <v>3.0</v>
      </c>
      <c r="BD12" s="7">
        <v>5.0</v>
      </c>
      <c r="BE12" s="7" t="s">
        <v>221</v>
      </c>
    </row>
    <row r="13" ht="22.5" customHeight="1">
      <c r="A13" s="6">
        <v>46023.64984387731</v>
      </c>
      <c r="B13" s="7" t="s">
        <v>57</v>
      </c>
      <c r="C13" s="7" t="s">
        <v>58</v>
      </c>
      <c r="D13" s="7" t="s">
        <v>58</v>
      </c>
      <c r="E13" s="7" t="s">
        <v>59</v>
      </c>
      <c r="F13" s="7" t="s">
        <v>60</v>
      </c>
      <c r="G13" s="7" t="s">
        <v>61</v>
      </c>
      <c r="H13" s="7" t="s">
        <v>60</v>
      </c>
      <c r="I13" s="7" t="s">
        <v>60</v>
      </c>
      <c r="J13" s="7" t="s">
        <v>62</v>
      </c>
      <c r="K13" s="7" t="s">
        <v>63</v>
      </c>
      <c r="L13" s="7" t="s">
        <v>64</v>
      </c>
      <c r="M13" s="7" t="s">
        <v>65</v>
      </c>
      <c r="N13" s="7" t="s">
        <v>67</v>
      </c>
      <c r="O13" s="7" t="s">
        <v>67</v>
      </c>
      <c r="P13" s="7" t="s">
        <v>66</v>
      </c>
      <c r="Q13" s="7" t="s">
        <v>67</v>
      </c>
      <c r="R13" s="7" t="s">
        <v>58</v>
      </c>
      <c r="S13" s="7" t="s">
        <v>67</v>
      </c>
      <c r="T13" s="7" t="s">
        <v>58</v>
      </c>
      <c r="U13" s="7" t="s">
        <v>67</v>
      </c>
      <c r="V13" s="7" t="s">
        <v>67</v>
      </c>
      <c r="W13" s="7" t="s">
        <v>58</v>
      </c>
      <c r="X13" s="7" t="s">
        <v>58</v>
      </c>
      <c r="Y13" s="7" t="s">
        <v>67</v>
      </c>
      <c r="Z13" s="7" t="s">
        <v>66</v>
      </c>
      <c r="AA13" s="7" t="s">
        <v>58</v>
      </c>
      <c r="AB13" s="7" t="s">
        <v>67</v>
      </c>
      <c r="AC13" s="7" t="s">
        <v>67</v>
      </c>
      <c r="AD13" s="7" t="s">
        <v>58</v>
      </c>
      <c r="AE13" s="7" t="s">
        <v>66</v>
      </c>
      <c r="AF13" s="7" t="s">
        <v>67</v>
      </c>
      <c r="AG13" s="7" t="s">
        <v>67</v>
      </c>
      <c r="AH13" s="7" t="s">
        <v>58</v>
      </c>
      <c r="AI13" s="7" t="s">
        <v>77</v>
      </c>
      <c r="AJ13" s="7" t="s">
        <v>69</v>
      </c>
      <c r="AK13" s="7" t="s">
        <v>73</v>
      </c>
      <c r="AL13" s="7">
        <v>4.0</v>
      </c>
      <c r="AM13" s="7">
        <v>3.0</v>
      </c>
      <c r="AN13" s="7">
        <v>2.0</v>
      </c>
      <c r="AO13" s="7">
        <v>2.0</v>
      </c>
      <c r="AP13" s="7">
        <v>4.0</v>
      </c>
      <c r="AQ13" s="7">
        <v>3.0</v>
      </c>
      <c r="AR13" s="7">
        <v>3.0</v>
      </c>
      <c r="AS13" s="7">
        <v>4.0</v>
      </c>
      <c r="AT13" s="7">
        <v>2.0</v>
      </c>
      <c r="AU13" s="7">
        <v>5.0</v>
      </c>
      <c r="AV13" s="7">
        <v>3.0</v>
      </c>
      <c r="AW13" s="7">
        <v>5.0</v>
      </c>
      <c r="AX13" s="7">
        <v>3.0</v>
      </c>
      <c r="AY13" s="7">
        <v>5.0</v>
      </c>
      <c r="AZ13" s="7">
        <v>1.0</v>
      </c>
      <c r="BA13" s="7">
        <v>4.0</v>
      </c>
      <c r="BB13" s="7" t="s">
        <v>70</v>
      </c>
      <c r="BC13" s="7">
        <v>2.0</v>
      </c>
      <c r="BD13" s="7">
        <v>6.0</v>
      </c>
      <c r="BE13" s="7" t="s">
        <v>164</v>
      </c>
    </row>
    <row r="14" ht="22.5" customHeight="1">
      <c r="A14" s="6">
        <v>46024.10952958334</v>
      </c>
      <c r="B14" s="7" t="s">
        <v>57</v>
      </c>
      <c r="C14" s="7" t="s">
        <v>58</v>
      </c>
      <c r="D14" s="7" t="s">
        <v>58</v>
      </c>
      <c r="E14" s="7" t="s">
        <v>59</v>
      </c>
      <c r="F14" s="7" t="s">
        <v>60</v>
      </c>
      <c r="G14" s="7" t="s">
        <v>61</v>
      </c>
      <c r="H14" s="7" t="s">
        <v>60</v>
      </c>
      <c r="I14" s="7" t="s">
        <v>60</v>
      </c>
      <c r="J14" s="7" t="s">
        <v>62</v>
      </c>
      <c r="K14" s="7" t="s">
        <v>63</v>
      </c>
      <c r="L14" s="7" t="s">
        <v>64</v>
      </c>
      <c r="M14" s="7" t="s">
        <v>65</v>
      </c>
      <c r="N14" s="7" t="s">
        <v>58</v>
      </c>
      <c r="O14" s="7" t="s">
        <v>58</v>
      </c>
      <c r="P14" s="7" t="s">
        <v>66</v>
      </c>
      <c r="Q14" s="7" t="s">
        <v>58</v>
      </c>
      <c r="R14" s="7" t="s">
        <v>58</v>
      </c>
      <c r="S14" s="7" t="s">
        <v>58</v>
      </c>
      <c r="T14" s="7" t="s">
        <v>58</v>
      </c>
      <c r="U14" s="7" t="s">
        <v>58</v>
      </c>
      <c r="V14" s="7" t="s">
        <v>58</v>
      </c>
      <c r="W14" s="7" t="s">
        <v>58</v>
      </c>
      <c r="X14" s="7" t="s">
        <v>67</v>
      </c>
      <c r="Y14" s="7" t="s">
        <v>67</v>
      </c>
      <c r="Z14" s="7" t="s">
        <v>66</v>
      </c>
      <c r="AA14" s="7" t="s">
        <v>67</v>
      </c>
      <c r="AB14" s="7" t="s">
        <v>58</v>
      </c>
      <c r="AC14" s="7" t="s">
        <v>58</v>
      </c>
      <c r="AD14" s="7" t="s">
        <v>58</v>
      </c>
      <c r="AE14" s="7" t="s">
        <v>66</v>
      </c>
      <c r="AF14" s="7" t="s">
        <v>67</v>
      </c>
      <c r="AG14" s="7" t="s">
        <v>67</v>
      </c>
      <c r="AH14" s="7" t="s">
        <v>67</v>
      </c>
      <c r="AI14" s="7" t="s">
        <v>68</v>
      </c>
      <c r="AJ14" s="7" t="s">
        <v>68</v>
      </c>
      <c r="AK14" s="7" t="s">
        <v>68</v>
      </c>
      <c r="AL14" s="7">
        <v>4.0</v>
      </c>
      <c r="AM14" s="7">
        <v>3.0</v>
      </c>
      <c r="AN14" s="7">
        <v>2.0</v>
      </c>
      <c r="AO14" s="7">
        <v>2.0</v>
      </c>
      <c r="AP14" s="7">
        <v>5.0</v>
      </c>
      <c r="AQ14" s="7">
        <v>3.0</v>
      </c>
      <c r="AR14" s="7">
        <v>5.0</v>
      </c>
      <c r="AS14" s="7">
        <v>4.0</v>
      </c>
      <c r="AT14" s="7">
        <v>1.0</v>
      </c>
      <c r="AU14" s="7">
        <v>4.0</v>
      </c>
      <c r="AV14" s="7">
        <v>3.0</v>
      </c>
      <c r="AW14" s="7">
        <v>5.0</v>
      </c>
      <c r="AX14" s="7">
        <v>1.0</v>
      </c>
      <c r="AY14" s="7">
        <v>5.0</v>
      </c>
      <c r="AZ14" s="7">
        <v>1.0</v>
      </c>
      <c r="BA14" s="7">
        <v>3.0</v>
      </c>
      <c r="BB14" s="7" t="s">
        <v>70</v>
      </c>
      <c r="BC14" s="7">
        <v>2.0</v>
      </c>
      <c r="BD14" s="7">
        <v>5.0</v>
      </c>
      <c r="BE14" s="7" t="s">
        <v>222</v>
      </c>
    </row>
    <row r="15" ht="22.5" customHeight="1">
      <c r="A15" s="6">
        <v>46025.07390478009</v>
      </c>
      <c r="B15" s="7" t="s">
        <v>57</v>
      </c>
      <c r="C15" s="7" t="s">
        <v>58</v>
      </c>
      <c r="D15" s="7" t="s">
        <v>58</v>
      </c>
      <c r="E15" s="7" t="s">
        <v>59</v>
      </c>
      <c r="F15" s="7" t="s">
        <v>60</v>
      </c>
      <c r="G15" s="7" t="s">
        <v>61</v>
      </c>
      <c r="H15" s="7" t="s">
        <v>60</v>
      </c>
      <c r="I15" s="7" t="s">
        <v>60</v>
      </c>
      <c r="J15" s="7" t="s">
        <v>62</v>
      </c>
      <c r="K15" s="7" t="s">
        <v>63</v>
      </c>
      <c r="L15" s="7" t="s">
        <v>64</v>
      </c>
      <c r="M15" s="7" t="s">
        <v>65</v>
      </c>
      <c r="N15" s="7" t="s">
        <v>67</v>
      </c>
      <c r="O15" s="7" t="s">
        <v>58</v>
      </c>
      <c r="P15" s="7" t="s">
        <v>66</v>
      </c>
      <c r="Q15" s="7" t="s">
        <v>58</v>
      </c>
      <c r="R15" s="7" t="s">
        <v>67</v>
      </c>
      <c r="S15" s="7" t="s">
        <v>58</v>
      </c>
      <c r="T15" s="7" t="s">
        <v>58</v>
      </c>
      <c r="U15" s="7" t="s">
        <v>67</v>
      </c>
      <c r="V15" s="7" t="s">
        <v>58</v>
      </c>
      <c r="W15" s="7" t="s">
        <v>58</v>
      </c>
      <c r="X15" s="7" t="s">
        <v>67</v>
      </c>
      <c r="Y15" s="7" t="s">
        <v>58</v>
      </c>
      <c r="Z15" s="7" t="s">
        <v>66</v>
      </c>
      <c r="AA15" s="7" t="s">
        <v>58</v>
      </c>
      <c r="AB15" s="7" t="s">
        <v>67</v>
      </c>
      <c r="AC15" s="7" t="s">
        <v>58</v>
      </c>
      <c r="AD15" s="7" t="s">
        <v>67</v>
      </c>
      <c r="AE15" s="7" t="s">
        <v>66</v>
      </c>
      <c r="AF15" s="7" t="s">
        <v>67</v>
      </c>
      <c r="AG15" s="7" t="s">
        <v>58</v>
      </c>
      <c r="AH15" s="7" t="s">
        <v>58</v>
      </c>
      <c r="AI15" s="7" t="s">
        <v>68</v>
      </c>
      <c r="AJ15" s="7" t="s">
        <v>69</v>
      </c>
      <c r="AK15" s="7" t="s">
        <v>69</v>
      </c>
      <c r="AL15" s="7">
        <v>2.0</v>
      </c>
      <c r="AM15" s="7">
        <v>5.0</v>
      </c>
      <c r="AN15" s="7">
        <v>2.0</v>
      </c>
      <c r="AO15" s="7">
        <v>1.0</v>
      </c>
      <c r="AP15" s="7">
        <v>5.0</v>
      </c>
      <c r="AQ15" s="7">
        <v>4.0</v>
      </c>
      <c r="AR15" s="7">
        <v>2.0</v>
      </c>
      <c r="AS15" s="7">
        <v>2.0</v>
      </c>
      <c r="AT15" s="7">
        <v>1.0</v>
      </c>
      <c r="AU15" s="7">
        <v>2.0</v>
      </c>
      <c r="AV15" s="7">
        <v>5.0</v>
      </c>
      <c r="AW15" s="7">
        <v>4.0</v>
      </c>
      <c r="AX15" s="7">
        <v>2.0</v>
      </c>
      <c r="AY15" s="7">
        <v>4.0</v>
      </c>
      <c r="AZ15" s="7">
        <v>1.0</v>
      </c>
      <c r="BA15" s="7">
        <v>4.0</v>
      </c>
      <c r="BB15" s="7" t="s">
        <v>74</v>
      </c>
      <c r="BC15" s="7">
        <v>5.0</v>
      </c>
      <c r="BD15" s="7">
        <v>6.0</v>
      </c>
      <c r="BE15" s="7" t="s">
        <v>223</v>
      </c>
    </row>
    <row r="16" ht="22.5" customHeight="1">
      <c r="A16" s="6">
        <v>46025.48705571759</v>
      </c>
      <c r="B16" s="7" t="s">
        <v>57</v>
      </c>
      <c r="C16" s="7" t="s">
        <v>58</v>
      </c>
      <c r="D16" s="7" t="s">
        <v>58</v>
      </c>
      <c r="E16" s="7" t="s">
        <v>59</v>
      </c>
      <c r="F16" s="7" t="s">
        <v>60</v>
      </c>
      <c r="G16" s="7" t="s">
        <v>61</v>
      </c>
      <c r="H16" s="7" t="s">
        <v>60</v>
      </c>
      <c r="I16" s="7" t="s">
        <v>60</v>
      </c>
      <c r="J16" s="7" t="s">
        <v>62</v>
      </c>
      <c r="K16" s="7" t="s">
        <v>63</v>
      </c>
      <c r="L16" s="7" t="s">
        <v>64</v>
      </c>
      <c r="M16" s="7" t="s">
        <v>97</v>
      </c>
      <c r="N16" s="7" t="s">
        <v>58</v>
      </c>
      <c r="O16" s="7" t="s">
        <v>67</v>
      </c>
      <c r="P16" s="7" t="s">
        <v>67</v>
      </c>
      <c r="Q16" s="7" t="s">
        <v>58</v>
      </c>
      <c r="R16" s="7" t="s">
        <v>67</v>
      </c>
      <c r="S16" s="7" t="s">
        <v>67</v>
      </c>
      <c r="T16" s="7" t="s">
        <v>67</v>
      </c>
      <c r="U16" s="7" t="s">
        <v>67</v>
      </c>
      <c r="V16" s="7" t="s">
        <v>58</v>
      </c>
      <c r="W16" s="7" t="s">
        <v>58</v>
      </c>
      <c r="X16" s="7" t="s">
        <v>67</v>
      </c>
      <c r="Y16" s="7" t="s">
        <v>67</v>
      </c>
      <c r="Z16" s="7" t="s">
        <v>66</v>
      </c>
      <c r="AA16" s="7" t="s">
        <v>58</v>
      </c>
      <c r="AB16" s="7" t="s">
        <v>67</v>
      </c>
      <c r="AC16" s="7" t="s">
        <v>58</v>
      </c>
      <c r="AD16" s="7" t="s">
        <v>58</v>
      </c>
      <c r="AE16" s="7" t="s">
        <v>67</v>
      </c>
      <c r="AF16" s="7" t="s">
        <v>67</v>
      </c>
      <c r="AG16" s="7" t="s">
        <v>67</v>
      </c>
      <c r="AH16" s="7" t="s">
        <v>67</v>
      </c>
      <c r="AI16" s="7" t="s">
        <v>77</v>
      </c>
      <c r="AJ16" s="7" t="s">
        <v>69</v>
      </c>
      <c r="AK16" s="7" t="s">
        <v>69</v>
      </c>
      <c r="AL16" s="7">
        <v>3.0</v>
      </c>
      <c r="AM16" s="7">
        <v>3.0</v>
      </c>
      <c r="AN16" s="7">
        <v>2.0</v>
      </c>
      <c r="AO16" s="7">
        <v>4.0</v>
      </c>
      <c r="AP16" s="7">
        <v>3.0</v>
      </c>
      <c r="AQ16" s="7">
        <v>4.0</v>
      </c>
      <c r="AR16" s="7">
        <v>2.0</v>
      </c>
      <c r="AS16" s="7">
        <v>3.0</v>
      </c>
      <c r="AT16" s="7">
        <v>3.0</v>
      </c>
      <c r="AU16" s="7">
        <v>2.0</v>
      </c>
      <c r="AV16" s="7">
        <v>2.0</v>
      </c>
      <c r="AW16" s="7">
        <v>3.0</v>
      </c>
      <c r="AX16" s="7">
        <v>5.0</v>
      </c>
      <c r="AY16" s="7">
        <v>2.0</v>
      </c>
      <c r="AZ16" s="7">
        <v>4.0</v>
      </c>
      <c r="BA16" s="7">
        <v>5.0</v>
      </c>
      <c r="BB16" s="7" t="s">
        <v>70</v>
      </c>
      <c r="BC16" s="7">
        <v>3.0</v>
      </c>
      <c r="BD16" s="7">
        <v>3.0</v>
      </c>
      <c r="BE16" s="7" t="s">
        <v>224</v>
      </c>
    </row>
    <row r="17" ht="22.5" customHeight="1">
      <c r="A17" s="6">
        <v>46028.75198299768</v>
      </c>
      <c r="B17" s="7" t="s">
        <v>57</v>
      </c>
      <c r="C17" s="7" t="s">
        <v>58</v>
      </c>
      <c r="D17" s="7" t="s">
        <v>58</v>
      </c>
      <c r="E17" s="7" t="s">
        <v>59</v>
      </c>
      <c r="F17" s="7" t="s">
        <v>60</v>
      </c>
      <c r="G17" s="7" t="s">
        <v>61</v>
      </c>
      <c r="H17" s="7" t="s">
        <v>60</v>
      </c>
      <c r="I17" s="7" t="s">
        <v>60</v>
      </c>
      <c r="J17" s="7" t="s">
        <v>62</v>
      </c>
      <c r="K17" s="7" t="s">
        <v>63</v>
      </c>
      <c r="L17" s="7" t="s">
        <v>64</v>
      </c>
      <c r="M17" s="7" t="s">
        <v>65</v>
      </c>
      <c r="N17" s="7" t="s">
        <v>67</v>
      </c>
      <c r="O17" s="7" t="s">
        <v>58</v>
      </c>
      <c r="P17" s="7" t="s">
        <v>66</v>
      </c>
      <c r="Q17" s="7" t="s">
        <v>58</v>
      </c>
      <c r="R17" s="7" t="s">
        <v>67</v>
      </c>
      <c r="S17" s="7" t="s">
        <v>58</v>
      </c>
      <c r="T17" s="7" t="s">
        <v>58</v>
      </c>
      <c r="U17" s="7" t="s">
        <v>67</v>
      </c>
      <c r="V17" s="7" t="s">
        <v>58</v>
      </c>
      <c r="W17" s="7" t="s">
        <v>58</v>
      </c>
      <c r="X17" s="7" t="s">
        <v>67</v>
      </c>
      <c r="Y17" s="7" t="s">
        <v>58</v>
      </c>
      <c r="Z17" s="7" t="s">
        <v>66</v>
      </c>
      <c r="AA17" s="7" t="s">
        <v>58</v>
      </c>
      <c r="AB17" s="7" t="s">
        <v>67</v>
      </c>
      <c r="AC17" s="7" t="s">
        <v>58</v>
      </c>
      <c r="AD17" s="7" t="s">
        <v>58</v>
      </c>
      <c r="AE17" s="7" t="s">
        <v>66</v>
      </c>
      <c r="AF17" s="7" t="s">
        <v>67</v>
      </c>
      <c r="AG17" s="7" t="s">
        <v>58</v>
      </c>
      <c r="AH17" s="7" t="s">
        <v>58</v>
      </c>
      <c r="AI17" s="7" t="s">
        <v>72</v>
      </c>
      <c r="AJ17" s="7" t="s">
        <v>69</v>
      </c>
      <c r="AK17" s="7" t="s">
        <v>69</v>
      </c>
      <c r="AL17" s="7">
        <v>4.0</v>
      </c>
      <c r="AM17" s="7">
        <v>2.0</v>
      </c>
      <c r="AN17" s="7">
        <v>1.0</v>
      </c>
      <c r="AO17" s="7">
        <v>2.0</v>
      </c>
      <c r="AP17" s="7">
        <v>4.0</v>
      </c>
      <c r="AQ17" s="7">
        <v>3.0</v>
      </c>
      <c r="AR17" s="7">
        <v>2.0</v>
      </c>
      <c r="AS17" s="7">
        <v>4.0</v>
      </c>
      <c r="AT17" s="7">
        <v>1.0</v>
      </c>
      <c r="AU17" s="7">
        <v>4.0</v>
      </c>
      <c r="AV17" s="7">
        <v>1.0</v>
      </c>
      <c r="AW17" s="7">
        <v>4.0</v>
      </c>
      <c r="AX17" s="7">
        <v>3.0</v>
      </c>
      <c r="AY17" s="7">
        <v>4.0</v>
      </c>
      <c r="AZ17" s="7">
        <v>1.0</v>
      </c>
      <c r="BA17" s="7">
        <v>3.0</v>
      </c>
      <c r="BB17" s="7" t="s">
        <v>70</v>
      </c>
      <c r="BC17" s="7">
        <v>5.0</v>
      </c>
      <c r="BD17" s="7">
        <v>6.0</v>
      </c>
      <c r="BE17" s="7" t="s">
        <v>225</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7.13"/>
    <col customWidth="1" min="6" max="48" width="37.63"/>
    <col customWidth="1" min="49" max="49" width="31.5"/>
    <col customWidth="1" min="50" max="53" width="37.63"/>
    <col customWidth="1" min="54" max="54" width="18.88"/>
    <col customWidth="1" min="55" max="56" width="37.63"/>
    <col customWidth="1" min="57" max="63"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16</v>
      </c>
      <c r="Q1" s="3" t="s">
        <v>15</v>
      </c>
      <c r="R1" s="3" t="s">
        <v>17</v>
      </c>
      <c r="S1" s="3" t="s">
        <v>18</v>
      </c>
      <c r="T1" s="3" t="s">
        <v>19</v>
      </c>
      <c r="U1" s="3" t="s">
        <v>20</v>
      </c>
      <c r="V1" s="3" t="s">
        <v>21</v>
      </c>
      <c r="W1" s="3" t="s">
        <v>22</v>
      </c>
      <c r="X1" s="3" t="s">
        <v>23</v>
      </c>
      <c r="Y1" s="3" t="s">
        <v>25</v>
      </c>
      <c r="Z1" s="3" t="s">
        <v>24</v>
      </c>
      <c r="AA1" s="3" t="s">
        <v>26</v>
      </c>
      <c r="AB1" s="3" t="s">
        <v>27</v>
      </c>
      <c r="AC1" s="3" t="s">
        <v>33</v>
      </c>
      <c r="AD1" s="3" t="s">
        <v>28</v>
      </c>
      <c r="AE1" s="3" t="s">
        <v>29</v>
      </c>
      <c r="AF1" s="3" t="s">
        <v>30</v>
      </c>
      <c r="AG1" s="3" t="s">
        <v>31</v>
      </c>
      <c r="AH1" s="3" t="s">
        <v>32</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ht="22.5" customHeight="1">
      <c r="A2" s="4">
        <v>46020.62787172454</v>
      </c>
      <c r="B2" s="5" t="s">
        <v>57</v>
      </c>
      <c r="C2" s="5" t="s">
        <v>58</v>
      </c>
      <c r="D2" s="5" t="s">
        <v>58</v>
      </c>
      <c r="E2" s="5" t="s">
        <v>59</v>
      </c>
      <c r="F2" s="5" t="s">
        <v>60</v>
      </c>
      <c r="G2" s="5" t="s">
        <v>61</v>
      </c>
      <c r="H2" s="5" t="s">
        <v>60</v>
      </c>
      <c r="I2" s="5" t="s">
        <v>60</v>
      </c>
      <c r="J2" s="5" t="s">
        <v>62</v>
      </c>
      <c r="K2" s="5" t="s">
        <v>63</v>
      </c>
      <c r="L2" s="5" t="s">
        <v>64</v>
      </c>
      <c r="M2" s="5" t="s">
        <v>65</v>
      </c>
      <c r="N2" s="5" t="s">
        <v>58</v>
      </c>
      <c r="O2" s="5" t="s">
        <v>58</v>
      </c>
      <c r="P2" s="5" t="s">
        <v>58</v>
      </c>
      <c r="Q2" s="5" t="s">
        <v>66</v>
      </c>
      <c r="R2" s="5" t="s">
        <v>58</v>
      </c>
      <c r="S2" s="5" t="s">
        <v>67</v>
      </c>
      <c r="T2" s="5" t="s">
        <v>58</v>
      </c>
      <c r="U2" s="5" t="s">
        <v>67</v>
      </c>
      <c r="V2" s="5" t="s">
        <v>58</v>
      </c>
      <c r="W2" s="5" t="s">
        <v>58</v>
      </c>
      <c r="X2" s="5" t="s">
        <v>67</v>
      </c>
      <c r="Y2" s="5" t="s">
        <v>66</v>
      </c>
      <c r="Z2" s="5" t="s">
        <v>67</v>
      </c>
      <c r="AA2" s="5" t="s">
        <v>67</v>
      </c>
      <c r="AB2" s="5" t="s">
        <v>67</v>
      </c>
      <c r="AC2" s="5" t="s">
        <v>66</v>
      </c>
      <c r="AD2" s="5" t="s">
        <v>67</v>
      </c>
      <c r="AE2" s="5" t="s">
        <v>58</v>
      </c>
      <c r="AF2" s="5" t="s">
        <v>67</v>
      </c>
      <c r="AG2" s="5" t="s">
        <v>58</v>
      </c>
      <c r="AH2" s="5" t="s">
        <v>67</v>
      </c>
      <c r="AI2" s="5" t="s">
        <v>68</v>
      </c>
      <c r="AJ2" s="5" t="s">
        <v>69</v>
      </c>
      <c r="AK2" s="5" t="s">
        <v>69</v>
      </c>
      <c r="AL2" s="5">
        <v>3.0</v>
      </c>
      <c r="AM2" s="5">
        <v>3.0</v>
      </c>
      <c r="AN2" s="5">
        <v>2.0</v>
      </c>
      <c r="AO2" s="5">
        <v>2.0</v>
      </c>
      <c r="AP2" s="5">
        <v>4.0</v>
      </c>
      <c r="AQ2" s="5">
        <v>3.0</v>
      </c>
      <c r="AR2" s="5">
        <v>2.0</v>
      </c>
      <c r="AS2" s="5">
        <v>4.0</v>
      </c>
      <c r="AT2" s="5">
        <v>1.0</v>
      </c>
      <c r="AU2" s="5">
        <v>4.0</v>
      </c>
      <c r="AV2" s="5">
        <v>3.0</v>
      </c>
      <c r="AW2" s="5">
        <v>4.0</v>
      </c>
      <c r="AX2" s="5">
        <v>3.0</v>
      </c>
      <c r="AY2" s="5">
        <v>5.0</v>
      </c>
      <c r="AZ2" s="5">
        <v>3.0</v>
      </c>
      <c r="BA2" s="5">
        <v>4.0</v>
      </c>
      <c r="BB2" s="5" t="s">
        <v>74</v>
      </c>
      <c r="BC2" s="5">
        <v>3.0</v>
      </c>
      <c r="BD2" s="5">
        <v>4.0</v>
      </c>
      <c r="BE2" s="5" t="s">
        <v>226</v>
      </c>
    </row>
    <row r="3" ht="22.5" customHeight="1">
      <c r="A3" s="4">
        <v>46020.63392952546</v>
      </c>
      <c r="B3" s="5" t="s">
        <v>57</v>
      </c>
      <c r="C3" s="5" t="s">
        <v>58</v>
      </c>
      <c r="D3" s="5" t="s">
        <v>58</v>
      </c>
      <c r="E3" s="5" t="s">
        <v>59</v>
      </c>
      <c r="F3" s="5" t="s">
        <v>60</v>
      </c>
      <c r="G3" s="5" t="s">
        <v>61</v>
      </c>
      <c r="H3" s="5" t="s">
        <v>60</v>
      </c>
      <c r="I3" s="5" t="s">
        <v>60</v>
      </c>
      <c r="J3" s="5" t="s">
        <v>62</v>
      </c>
      <c r="K3" s="5" t="s">
        <v>63</v>
      </c>
      <c r="L3" s="5" t="s">
        <v>64</v>
      </c>
      <c r="M3" s="5" t="s">
        <v>65</v>
      </c>
      <c r="N3" s="5" t="s">
        <v>58</v>
      </c>
      <c r="O3" s="5" t="s">
        <v>67</v>
      </c>
      <c r="P3" s="5" t="s">
        <v>58</v>
      </c>
      <c r="Q3" s="5" t="s">
        <v>58</v>
      </c>
      <c r="R3" s="5" t="s">
        <v>67</v>
      </c>
      <c r="S3" s="5" t="s">
        <v>58</v>
      </c>
      <c r="T3" s="5" t="s">
        <v>58</v>
      </c>
      <c r="U3" s="5" t="s">
        <v>67</v>
      </c>
      <c r="V3" s="5" t="s">
        <v>58</v>
      </c>
      <c r="W3" s="5" t="s">
        <v>67</v>
      </c>
      <c r="X3" s="5" t="s">
        <v>58</v>
      </c>
      <c r="Y3" s="5" t="s">
        <v>66</v>
      </c>
      <c r="Z3" s="5" t="s">
        <v>58</v>
      </c>
      <c r="AA3" s="5" t="s">
        <v>67</v>
      </c>
      <c r="AB3" s="5" t="s">
        <v>67</v>
      </c>
      <c r="AC3" s="5" t="s">
        <v>58</v>
      </c>
      <c r="AD3" s="5" t="s">
        <v>67</v>
      </c>
      <c r="AE3" s="5" t="s">
        <v>58</v>
      </c>
      <c r="AF3" s="5" t="s">
        <v>67</v>
      </c>
      <c r="AG3" s="5" t="s">
        <v>58</v>
      </c>
      <c r="AH3" s="5" t="s">
        <v>67</v>
      </c>
      <c r="AI3" s="5" t="s">
        <v>72</v>
      </c>
      <c r="AJ3" s="5" t="s">
        <v>69</v>
      </c>
      <c r="AK3" s="5" t="s">
        <v>73</v>
      </c>
      <c r="AL3" s="5">
        <v>3.0</v>
      </c>
      <c r="AM3" s="5">
        <v>4.0</v>
      </c>
      <c r="AN3" s="5">
        <v>3.0</v>
      </c>
      <c r="AO3" s="5">
        <v>3.0</v>
      </c>
      <c r="AP3" s="5">
        <v>5.0</v>
      </c>
      <c r="AQ3" s="5">
        <v>5.0</v>
      </c>
      <c r="AR3" s="5">
        <v>3.0</v>
      </c>
      <c r="AS3" s="5">
        <v>5.0</v>
      </c>
      <c r="AT3" s="5">
        <v>2.0</v>
      </c>
      <c r="AU3" s="5">
        <v>4.0</v>
      </c>
      <c r="AV3" s="5">
        <v>5.0</v>
      </c>
      <c r="AW3" s="5">
        <v>3.0</v>
      </c>
      <c r="AX3" s="5">
        <v>5.0</v>
      </c>
      <c r="AY3" s="5">
        <v>3.0</v>
      </c>
      <c r="AZ3" s="5">
        <v>2.0</v>
      </c>
      <c r="BA3" s="5">
        <v>1.0</v>
      </c>
      <c r="BB3" s="5" t="s">
        <v>70</v>
      </c>
      <c r="BC3" s="5">
        <v>3.0</v>
      </c>
      <c r="BD3" s="5">
        <v>7.0</v>
      </c>
      <c r="BE3" s="5" t="s">
        <v>227</v>
      </c>
    </row>
    <row r="4" ht="22.5" customHeight="1">
      <c r="A4" s="4">
        <v>46021.11599475694</v>
      </c>
      <c r="B4" s="5" t="s">
        <v>57</v>
      </c>
      <c r="C4" s="5" t="s">
        <v>58</v>
      </c>
      <c r="D4" s="5" t="s">
        <v>58</v>
      </c>
      <c r="E4" s="5" t="s">
        <v>59</v>
      </c>
      <c r="F4" s="5" t="s">
        <v>60</v>
      </c>
      <c r="G4" s="5" t="s">
        <v>61</v>
      </c>
      <c r="H4" s="5" t="s">
        <v>60</v>
      </c>
      <c r="I4" s="5" t="s">
        <v>60</v>
      </c>
      <c r="J4" s="5" t="s">
        <v>62</v>
      </c>
      <c r="K4" s="5" t="s">
        <v>63</v>
      </c>
      <c r="L4" s="5" t="s">
        <v>64</v>
      </c>
      <c r="M4" s="5" t="s">
        <v>65</v>
      </c>
      <c r="N4" s="5" t="s">
        <v>67</v>
      </c>
      <c r="O4" s="5" t="s">
        <v>58</v>
      </c>
      <c r="P4" s="5" t="s">
        <v>58</v>
      </c>
      <c r="Q4" s="5" t="s">
        <v>66</v>
      </c>
      <c r="R4" s="5" t="s">
        <v>67</v>
      </c>
      <c r="S4" s="5" t="s">
        <v>58</v>
      </c>
      <c r="T4" s="5" t="s">
        <v>58</v>
      </c>
      <c r="U4" s="5" t="s">
        <v>67</v>
      </c>
      <c r="V4" s="5" t="s">
        <v>58</v>
      </c>
      <c r="W4" s="5" t="s">
        <v>58</v>
      </c>
      <c r="X4" s="5" t="s">
        <v>58</v>
      </c>
      <c r="Y4" s="5" t="s">
        <v>66</v>
      </c>
      <c r="Z4" s="5" t="s">
        <v>58</v>
      </c>
      <c r="AA4" s="5" t="s">
        <v>58</v>
      </c>
      <c r="AB4" s="5" t="s">
        <v>58</v>
      </c>
      <c r="AC4" s="5" t="s">
        <v>66</v>
      </c>
      <c r="AD4" s="5" t="s">
        <v>58</v>
      </c>
      <c r="AE4" s="5" t="s">
        <v>58</v>
      </c>
      <c r="AF4" s="5" t="s">
        <v>67</v>
      </c>
      <c r="AG4" s="5" t="s">
        <v>58</v>
      </c>
      <c r="AH4" s="5" t="s">
        <v>58</v>
      </c>
      <c r="AI4" s="5" t="s">
        <v>77</v>
      </c>
      <c r="AJ4" s="5" t="s">
        <v>69</v>
      </c>
      <c r="AK4" s="5" t="s">
        <v>69</v>
      </c>
      <c r="AL4" s="5">
        <v>4.0</v>
      </c>
      <c r="AM4" s="5">
        <v>3.0</v>
      </c>
      <c r="AN4" s="5">
        <v>2.0</v>
      </c>
      <c r="AO4" s="5">
        <v>2.0</v>
      </c>
      <c r="AP4" s="5">
        <v>4.0</v>
      </c>
      <c r="AQ4" s="5">
        <v>4.0</v>
      </c>
      <c r="AR4" s="5">
        <v>2.0</v>
      </c>
      <c r="AS4" s="5">
        <v>5.0</v>
      </c>
      <c r="AT4" s="5">
        <v>1.0</v>
      </c>
      <c r="AU4" s="5">
        <v>5.0</v>
      </c>
      <c r="AV4" s="5">
        <v>1.0</v>
      </c>
      <c r="AW4" s="5">
        <v>5.0</v>
      </c>
      <c r="AX4" s="5">
        <v>1.0</v>
      </c>
      <c r="AY4" s="5">
        <v>5.0</v>
      </c>
      <c r="AZ4" s="5">
        <v>1.0</v>
      </c>
      <c r="BA4" s="5">
        <v>1.0</v>
      </c>
      <c r="BB4" s="5" t="s">
        <v>70</v>
      </c>
      <c r="BC4" s="5">
        <v>1.0</v>
      </c>
      <c r="BD4" s="5">
        <v>5.0</v>
      </c>
      <c r="BE4" s="5" t="s">
        <v>228</v>
      </c>
    </row>
    <row r="5" ht="22.5" customHeight="1">
      <c r="A5" s="4">
        <v>46022.590255891206</v>
      </c>
      <c r="B5" s="5" t="s">
        <v>57</v>
      </c>
      <c r="C5" s="5" t="s">
        <v>58</v>
      </c>
      <c r="D5" s="5" t="s">
        <v>58</v>
      </c>
      <c r="E5" s="5" t="s">
        <v>59</v>
      </c>
      <c r="F5" s="5" t="s">
        <v>60</v>
      </c>
      <c r="G5" s="5" t="s">
        <v>61</v>
      </c>
      <c r="H5" s="5" t="s">
        <v>60</v>
      </c>
      <c r="I5" s="5" t="s">
        <v>60</v>
      </c>
      <c r="J5" s="5" t="s">
        <v>62</v>
      </c>
      <c r="K5" s="5" t="s">
        <v>63</v>
      </c>
      <c r="L5" s="5" t="s">
        <v>64</v>
      </c>
      <c r="M5" s="5" t="s">
        <v>65</v>
      </c>
      <c r="N5" s="5" t="s">
        <v>58</v>
      </c>
      <c r="O5" s="5" t="s">
        <v>58</v>
      </c>
      <c r="P5" s="5" t="s">
        <v>67</v>
      </c>
      <c r="Q5" s="5" t="s">
        <v>66</v>
      </c>
      <c r="R5" s="5" t="s">
        <v>67</v>
      </c>
      <c r="S5" s="5" t="s">
        <v>58</v>
      </c>
      <c r="T5" s="5" t="s">
        <v>58</v>
      </c>
      <c r="U5" s="5" t="s">
        <v>67</v>
      </c>
      <c r="V5" s="5" t="s">
        <v>58</v>
      </c>
      <c r="W5" s="5" t="s">
        <v>58</v>
      </c>
      <c r="X5" s="5" t="s">
        <v>58</v>
      </c>
      <c r="Y5" s="5" t="s">
        <v>66</v>
      </c>
      <c r="Z5" s="5" t="s">
        <v>58</v>
      </c>
      <c r="AA5" s="5" t="s">
        <v>58</v>
      </c>
      <c r="AB5" s="5" t="s">
        <v>67</v>
      </c>
      <c r="AC5" s="5" t="s">
        <v>66</v>
      </c>
      <c r="AD5" s="5" t="s">
        <v>58</v>
      </c>
      <c r="AE5" s="5" t="s">
        <v>58</v>
      </c>
      <c r="AF5" s="5" t="s">
        <v>58</v>
      </c>
      <c r="AG5" s="5" t="s">
        <v>58</v>
      </c>
      <c r="AH5" s="5" t="s">
        <v>58</v>
      </c>
      <c r="AI5" s="5" t="s">
        <v>68</v>
      </c>
      <c r="AJ5" s="5" t="s">
        <v>73</v>
      </c>
      <c r="AK5" s="5" t="s">
        <v>73</v>
      </c>
      <c r="AL5" s="5">
        <v>3.0</v>
      </c>
      <c r="AM5" s="5">
        <v>4.0</v>
      </c>
      <c r="AN5" s="5">
        <v>1.0</v>
      </c>
      <c r="AO5" s="5">
        <v>1.0</v>
      </c>
      <c r="AP5" s="5">
        <v>5.0</v>
      </c>
      <c r="AQ5" s="5">
        <v>4.0</v>
      </c>
      <c r="AR5" s="5">
        <v>4.0</v>
      </c>
      <c r="AS5" s="5">
        <v>2.0</v>
      </c>
      <c r="AT5" s="5">
        <v>3.0</v>
      </c>
      <c r="AU5" s="5">
        <v>3.0</v>
      </c>
      <c r="AV5" s="5">
        <v>5.0</v>
      </c>
      <c r="AW5" s="5">
        <v>5.0</v>
      </c>
      <c r="AX5" s="5">
        <v>3.0</v>
      </c>
      <c r="AY5" s="5">
        <v>1.0</v>
      </c>
      <c r="AZ5" s="5">
        <v>1.0</v>
      </c>
      <c r="BA5" s="5">
        <v>2.0</v>
      </c>
      <c r="BB5" s="5" t="s">
        <v>70</v>
      </c>
      <c r="BC5" s="5">
        <v>6.0</v>
      </c>
      <c r="BD5" s="5">
        <v>6.0</v>
      </c>
      <c r="BE5" s="5" t="s">
        <v>229</v>
      </c>
    </row>
    <row r="6" ht="22.5" customHeight="1">
      <c r="A6" s="6">
        <v>46022.69660056713</v>
      </c>
      <c r="B6" s="7" t="s">
        <v>57</v>
      </c>
      <c r="C6" s="7" t="s">
        <v>58</v>
      </c>
      <c r="D6" s="7" t="s">
        <v>58</v>
      </c>
      <c r="E6" s="7" t="s">
        <v>59</v>
      </c>
      <c r="F6" s="7" t="s">
        <v>60</v>
      </c>
      <c r="G6" s="7" t="s">
        <v>61</v>
      </c>
      <c r="H6" s="7" t="s">
        <v>60</v>
      </c>
      <c r="I6" s="7" t="s">
        <v>60</v>
      </c>
      <c r="J6" s="7" t="s">
        <v>62</v>
      </c>
      <c r="K6" s="7" t="s">
        <v>63</v>
      </c>
      <c r="L6" s="7" t="s">
        <v>64</v>
      </c>
      <c r="M6" s="7" t="s">
        <v>65</v>
      </c>
      <c r="N6" s="7" t="s">
        <v>58</v>
      </c>
      <c r="O6" s="7" t="s">
        <v>58</v>
      </c>
      <c r="P6" s="7" t="s">
        <v>58</v>
      </c>
      <c r="Q6" s="7" t="s">
        <v>67</v>
      </c>
      <c r="R6" s="7" t="s">
        <v>67</v>
      </c>
      <c r="S6" s="7" t="s">
        <v>58</v>
      </c>
      <c r="T6" s="7" t="s">
        <v>67</v>
      </c>
      <c r="U6" s="7" t="s">
        <v>67</v>
      </c>
      <c r="V6" s="7" t="s">
        <v>58</v>
      </c>
      <c r="W6" s="7" t="s">
        <v>58</v>
      </c>
      <c r="X6" s="7" t="s">
        <v>67</v>
      </c>
      <c r="Y6" s="7" t="s">
        <v>66</v>
      </c>
      <c r="Z6" s="7" t="s">
        <v>58</v>
      </c>
      <c r="AA6" s="7" t="s">
        <v>58</v>
      </c>
      <c r="AB6" s="7" t="s">
        <v>67</v>
      </c>
      <c r="AC6" s="7" t="s">
        <v>66</v>
      </c>
      <c r="AD6" s="7" t="s">
        <v>58</v>
      </c>
      <c r="AE6" s="7" t="s">
        <v>58</v>
      </c>
      <c r="AF6" s="7" t="s">
        <v>58</v>
      </c>
      <c r="AG6" s="7" t="s">
        <v>58</v>
      </c>
      <c r="AH6" s="7" t="s">
        <v>58</v>
      </c>
      <c r="AI6" s="7" t="s">
        <v>68</v>
      </c>
      <c r="AJ6" s="7" t="s">
        <v>68</v>
      </c>
      <c r="AK6" s="7" t="s">
        <v>68</v>
      </c>
      <c r="AL6" s="7">
        <v>2.0</v>
      </c>
      <c r="AM6" s="7">
        <v>2.0</v>
      </c>
      <c r="AN6" s="7">
        <v>3.0</v>
      </c>
      <c r="AO6" s="7">
        <v>3.0</v>
      </c>
      <c r="AP6" s="7">
        <v>2.0</v>
      </c>
      <c r="AQ6" s="7">
        <v>2.0</v>
      </c>
      <c r="AR6" s="7">
        <v>1.0</v>
      </c>
      <c r="AS6" s="7">
        <v>2.0</v>
      </c>
      <c r="AT6" s="7">
        <v>1.0</v>
      </c>
      <c r="AU6" s="7">
        <v>4.0</v>
      </c>
      <c r="AV6" s="7">
        <v>1.0</v>
      </c>
      <c r="AW6" s="7">
        <v>5.0</v>
      </c>
      <c r="AX6" s="7">
        <v>1.0</v>
      </c>
      <c r="AY6" s="7">
        <v>5.0</v>
      </c>
      <c r="AZ6" s="7">
        <v>1.0</v>
      </c>
      <c r="BA6" s="7">
        <v>5.0</v>
      </c>
      <c r="BB6" s="7" t="s">
        <v>70</v>
      </c>
      <c r="BC6" s="7">
        <v>3.0</v>
      </c>
      <c r="BD6" s="7">
        <v>6.0</v>
      </c>
      <c r="BE6" s="7" t="s">
        <v>230</v>
      </c>
    </row>
    <row r="7" ht="22.5" customHeight="1">
      <c r="A7" s="6">
        <v>46022.850394988425</v>
      </c>
      <c r="B7" s="7" t="s">
        <v>57</v>
      </c>
      <c r="C7" s="7" t="s">
        <v>58</v>
      </c>
      <c r="D7" s="7" t="s">
        <v>58</v>
      </c>
      <c r="E7" s="7" t="s">
        <v>59</v>
      </c>
      <c r="F7" s="7" t="s">
        <v>60</v>
      </c>
      <c r="G7" s="7" t="s">
        <v>61</v>
      </c>
      <c r="H7" s="7" t="s">
        <v>60</v>
      </c>
      <c r="I7" s="7" t="s">
        <v>60</v>
      </c>
      <c r="J7" s="7" t="s">
        <v>62</v>
      </c>
      <c r="K7" s="7" t="s">
        <v>63</v>
      </c>
      <c r="L7" s="7" t="s">
        <v>64</v>
      </c>
      <c r="M7" s="7" t="s">
        <v>65</v>
      </c>
      <c r="N7" s="7" t="s">
        <v>67</v>
      </c>
      <c r="O7" s="7" t="s">
        <v>58</v>
      </c>
      <c r="P7" s="7" t="s">
        <v>67</v>
      </c>
      <c r="Q7" s="7" t="s">
        <v>66</v>
      </c>
      <c r="R7" s="7" t="s">
        <v>58</v>
      </c>
      <c r="S7" s="7" t="s">
        <v>67</v>
      </c>
      <c r="T7" s="7" t="s">
        <v>67</v>
      </c>
      <c r="U7" s="7" t="s">
        <v>67</v>
      </c>
      <c r="V7" s="7" t="s">
        <v>58</v>
      </c>
      <c r="W7" s="7" t="s">
        <v>58</v>
      </c>
      <c r="X7" s="7" t="s">
        <v>67</v>
      </c>
      <c r="Y7" s="7" t="s">
        <v>66</v>
      </c>
      <c r="Z7" s="7" t="s">
        <v>58</v>
      </c>
      <c r="AA7" s="7" t="s">
        <v>58</v>
      </c>
      <c r="AB7" s="7" t="s">
        <v>67</v>
      </c>
      <c r="AC7" s="7" t="s">
        <v>66</v>
      </c>
      <c r="AD7" s="7" t="s">
        <v>58</v>
      </c>
      <c r="AE7" s="7" t="s">
        <v>67</v>
      </c>
      <c r="AF7" s="7" t="s">
        <v>67</v>
      </c>
      <c r="AG7" s="7" t="s">
        <v>58</v>
      </c>
      <c r="AH7" s="7" t="s">
        <v>58</v>
      </c>
      <c r="AI7" s="7" t="s">
        <v>77</v>
      </c>
      <c r="AJ7" s="7" t="s">
        <v>69</v>
      </c>
      <c r="AK7" s="7" t="s">
        <v>69</v>
      </c>
      <c r="AL7" s="7">
        <v>2.0</v>
      </c>
      <c r="AM7" s="7">
        <v>3.0</v>
      </c>
      <c r="AN7" s="7">
        <v>2.0</v>
      </c>
      <c r="AO7" s="7">
        <v>2.0</v>
      </c>
      <c r="AP7" s="7">
        <v>4.0</v>
      </c>
      <c r="AQ7" s="7">
        <v>2.0</v>
      </c>
      <c r="AR7" s="7">
        <v>2.0</v>
      </c>
      <c r="AS7" s="7">
        <v>4.0</v>
      </c>
      <c r="AT7" s="7">
        <v>2.0</v>
      </c>
      <c r="AU7" s="7">
        <v>3.0</v>
      </c>
      <c r="AV7" s="7">
        <v>4.0</v>
      </c>
      <c r="AW7" s="7">
        <v>4.0</v>
      </c>
      <c r="AX7" s="7">
        <v>1.0</v>
      </c>
      <c r="AY7" s="7">
        <v>4.0</v>
      </c>
      <c r="AZ7" s="7">
        <v>1.0</v>
      </c>
      <c r="BA7" s="7">
        <v>2.0</v>
      </c>
      <c r="BB7" s="7" t="s">
        <v>70</v>
      </c>
      <c r="BC7" s="7">
        <v>2.0</v>
      </c>
      <c r="BD7" s="7">
        <v>5.0</v>
      </c>
      <c r="BE7" s="7" t="s">
        <v>231</v>
      </c>
    </row>
    <row r="8" ht="22.5" customHeight="1">
      <c r="A8" s="6">
        <v>46024.861236701385</v>
      </c>
      <c r="B8" s="7" t="s">
        <v>57</v>
      </c>
      <c r="C8" s="7" t="s">
        <v>58</v>
      </c>
      <c r="D8" s="7" t="s">
        <v>58</v>
      </c>
      <c r="E8" s="7" t="s">
        <v>59</v>
      </c>
      <c r="F8" s="7" t="s">
        <v>60</v>
      </c>
      <c r="G8" s="7" t="s">
        <v>61</v>
      </c>
      <c r="H8" s="7" t="s">
        <v>60</v>
      </c>
      <c r="I8" s="7" t="s">
        <v>60</v>
      </c>
      <c r="J8" s="7" t="s">
        <v>62</v>
      </c>
      <c r="K8" s="7" t="s">
        <v>63</v>
      </c>
      <c r="L8" s="7" t="s">
        <v>64</v>
      </c>
      <c r="M8" s="7" t="s">
        <v>65</v>
      </c>
      <c r="N8" s="7" t="s">
        <v>67</v>
      </c>
      <c r="O8" s="7" t="s">
        <v>58</v>
      </c>
      <c r="P8" s="7" t="s">
        <v>58</v>
      </c>
      <c r="Q8" s="7" t="s">
        <v>66</v>
      </c>
      <c r="R8" s="7" t="s">
        <v>67</v>
      </c>
      <c r="S8" s="7" t="s">
        <v>58</v>
      </c>
      <c r="T8" s="7" t="s">
        <v>67</v>
      </c>
      <c r="U8" s="7" t="s">
        <v>67</v>
      </c>
      <c r="V8" s="7" t="s">
        <v>58</v>
      </c>
      <c r="W8" s="7" t="s">
        <v>58</v>
      </c>
      <c r="X8" s="7" t="s">
        <v>67</v>
      </c>
      <c r="Y8" s="7" t="s">
        <v>66</v>
      </c>
      <c r="Z8" s="7" t="s">
        <v>58</v>
      </c>
      <c r="AA8" s="7" t="s">
        <v>67</v>
      </c>
      <c r="AB8" s="7" t="s">
        <v>67</v>
      </c>
      <c r="AC8" s="7" t="s">
        <v>66</v>
      </c>
      <c r="AD8" s="7" t="s">
        <v>58</v>
      </c>
      <c r="AE8" s="7" t="s">
        <v>58</v>
      </c>
      <c r="AF8" s="7" t="s">
        <v>67</v>
      </c>
      <c r="AG8" s="7" t="s">
        <v>58</v>
      </c>
      <c r="AH8" s="7" t="s">
        <v>67</v>
      </c>
      <c r="AI8" s="7" t="s">
        <v>72</v>
      </c>
      <c r="AJ8" s="7" t="s">
        <v>69</v>
      </c>
      <c r="AK8" s="7" t="s">
        <v>73</v>
      </c>
      <c r="AL8" s="7">
        <v>1.0</v>
      </c>
      <c r="AM8" s="7">
        <v>2.0</v>
      </c>
      <c r="AN8" s="7">
        <v>3.0</v>
      </c>
      <c r="AO8" s="7">
        <v>3.0</v>
      </c>
      <c r="AP8" s="7">
        <v>2.0</v>
      </c>
      <c r="AQ8" s="7">
        <v>3.0</v>
      </c>
      <c r="AR8" s="7">
        <v>5.0</v>
      </c>
      <c r="AS8" s="7">
        <v>3.0</v>
      </c>
      <c r="AT8" s="7">
        <v>1.0</v>
      </c>
      <c r="AU8" s="7">
        <v>2.0</v>
      </c>
      <c r="AV8" s="7">
        <v>5.0</v>
      </c>
      <c r="AW8" s="7">
        <v>2.0</v>
      </c>
      <c r="AX8" s="7">
        <v>3.0</v>
      </c>
      <c r="AY8" s="7">
        <v>2.0</v>
      </c>
      <c r="AZ8" s="7">
        <v>1.0</v>
      </c>
      <c r="BA8" s="7">
        <v>2.0</v>
      </c>
      <c r="BB8" s="7" t="s">
        <v>70</v>
      </c>
      <c r="BC8" s="7">
        <v>4.0</v>
      </c>
      <c r="BD8" s="7">
        <v>3.0</v>
      </c>
      <c r="BE8" s="7" t="s">
        <v>232</v>
      </c>
    </row>
    <row r="9" ht="22.5" customHeight="1">
      <c r="A9" s="6">
        <v>46025.50044418982</v>
      </c>
      <c r="B9" s="7" t="s">
        <v>57</v>
      </c>
      <c r="C9" s="7" t="s">
        <v>58</v>
      </c>
      <c r="D9" s="7" t="s">
        <v>58</v>
      </c>
      <c r="E9" s="7" t="s">
        <v>59</v>
      </c>
      <c r="F9" s="7" t="s">
        <v>60</v>
      </c>
      <c r="G9" s="7" t="s">
        <v>61</v>
      </c>
      <c r="H9" s="7" t="s">
        <v>60</v>
      </c>
      <c r="I9" s="7" t="s">
        <v>60</v>
      </c>
      <c r="J9" s="7" t="s">
        <v>62</v>
      </c>
      <c r="K9" s="7" t="s">
        <v>63</v>
      </c>
      <c r="L9" s="7" t="s">
        <v>64</v>
      </c>
      <c r="M9" s="7" t="s">
        <v>65</v>
      </c>
      <c r="N9" s="7" t="s">
        <v>58</v>
      </c>
      <c r="O9" s="7" t="s">
        <v>58</v>
      </c>
      <c r="P9" s="7" t="s">
        <v>58</v>
      </c>
      <c r="Q9" s="7" t="s">
        <v>66</v>
      </c>
      <c r="R9" s="7" t="s">
        <v>67</v>
      </c>
      <c r="S9" s="7" t="s">
        <v>58</v>
      </c>
      <c r="T9" s="7" t="s">
        <v>58</v>
      </c>
      <c r="U9" s="7" t="s">
        <v>67</v>
      </c>
      <c r="V9" s="7" t="s">
        <v>67</v>
      </c>
      <c r="W9" s="7" t="s">
        <v>58</v>
      </c>
      <c r="X9" s="7" t="s">
        <v>58</v>
      </c>
      <c r="Y9" s="7" t="s">
        <v>66</v>
      </c>
      <c r="Z9" s="7" t="s">
        <v>58</v>
      </c>
      <c r="AA9" s="7" t="s">
        <v>67</v>
      </c>
      <c r="AB9" s="7" t="s">
        <v>58</v>
      </c>
      <c r="AC9" s="7" t="s">
        <v>66</v>
      </c>
      <c r="AD9" s="7" t="s">
        <v>58</v>
      </c>
      <c r="AE9" s="7" t="s">
        <v>58</v>
      </c>
      <c r="AF9" s="7" t="s">
        <v>67</v>
      </c>
      <c r="AG9" s="7" t="s">
        <v>58</v>
      </c>
      <c r="AH9" s="7" t="s">
        <v>67</v>
      </c>
      <c r="AI9" s="7" t="s">
        <v>77</v>
      </c>
      <c r="AJ9" s="7" t="s">
        <v>69</v>
      </c>
      <c r="AK9" s="7" t="s">
        <v>69</v>
      </c>
      <c r="AL9" s="7">
        <v>3.0</v>
      </c>
      <c r="AM9" s="7">
        <v>2.0</v>
      </c>
      <c r="AN9" s="7">
        <v>3.0</v>
      </c>
      <c r="AO9" s="7">
        <v>2.0</v>
      </c>
      <c r="AP9" s="7">
        <v>4.0</v>
      </c>
      <c r="AQ9" s="7">
        <v>4.0</v>
      </c>
      <c r="AR9" s="7">
        <v>3.0</v>
      </c>
      <c r="AS9" s="7">
        <v>5.0</v>
      </c>
      <c r="AT9" s="7">
        <v>2.0</v>
      </c>
      <c r="AU9" s="7">
        <v>4.0</v>
      </c>
      <c r="AV9" s="7">
        <v>4.0</v>
      </c>
      <c r="AW9" s="7">
        <v>5.0</v>
      </c>
      <c r="AX9" s="7">
        <v>4.0</v>
      </c>
      <c r="AY9" s="7">
        <v>5.0</v>
      </c>
      <c r="AZ9" s="7">
        <v>1.0</v>
      </c>
      <c r="BA9" s="7">
        <v>2.0</v>
      </c>
      <c r="BB9" s="7" t="s">
        <v>70</v>
      </c>
      <c r="BC9" s="7">
        <v>3.0</v>
      </c>
      <c r="BD9" s="7">
        <v>7.0</v>
      </c>
      <c r="BE9" s="7" t="s">
        <v>233</v>
      </c>
    </row>
    <row r="10" ht="22.5" customHeight="1">
      <c r="A10" s="6">
        <v>46025.72183115741</v>
      </c>
      <c r="B10" s="7" t="s">
        <v>57</v>
      </c>
      <c r="C10" s="7" t="s">
        <v>58</v>
      </c>
      <c r="D10" s="7" t="s">
        <v>58</v>
      </c>
      <c r="E10" s="7" t="s">
        <v>59</v>
      </c>
      <c r="F10" s="7" t="s">
        <v>60</v>
      </c>
      <c r="G10" s="7" t="s">
        <v>61</v>
      </c>
      <c r="H10" s="7" t="s">
        <v>60</v>
      </c>
      <c r="I10" s="7" t="s">
        <v>60</v>
      </c>
      <c r="J10" s="7" t="s">
        <v>62</v>
      </c>
      <c r="K10" s="7" t="s">
        <v>63</v>
      </c>
      <c r="L10" s="7" t="s">
        <v>64</v>
      </c>
      <c r="M10" s="7" t="s">
        <v>65</v>
      </c>
      <c r="N10" s="7" t="s">
        <v>67</v>
      </c>
      <c r="O10" s="7" t="s">
        <v>67</v>
      </c>
      <c r="P10" s="7" t="s">
        <v>67</v>
      </c>
      <c r="Q10" s="7" t="s">
        <v>67</v>
      </c>
      <c r="R10" s="7" t="s">
        <v>67</v>
      </c>
      <c r="S10" s="7" t="s">
        <v>67</v>
      </c>
      <c r="T10" s="7" t="s">
        <v>67</v>
      </c>
      <c r="U10" s="7" t="s">
        <v>67</v>
      </c>
      <c r="V10" s="7" t="s">
        <v>67</v>
      </c>
      <c r="W10" s="7" t="s">
        <v>67</v>
      </c>
      <c r="X10" s="7" t="s">
        <v>67</v>
      </c>
      <c r="Y10" s="7" t="s">
        <v>67</v>
      </c>
      <c r="Z10" s="7" t="s">
        <v>67</v>
      </c>
      <c r="AA10" s="7" t="s">
        <v>67</v>
      </c>
      <c r="AB10" s="7" t="s">
        <v>67</v>
      </c>
      <c r="AC10" s="7" t="s">
        <v>67</v>
      </c>
      <c r="AD10" s="7" t="s">
        <v>67</v>
      </c>
      <c r="AE10" s="7" t="s">
        <v>67</v>
      </c>
      <c r="AF10" s="7" t="s">
        <v>67</v>
      </c>
      <c r="AG10" s="7" t="s">
        <v>67</v>
      </c>
      <c r="AH10" s="7" t="s">
        <v>67</v>
      </c>
      <c r="AI10" s="7" t="s">
        <v>68</v>
      </c>
      <c r="AJ10" s="7" t="s">
        <v>68</v>
      </c>
      <c r="AK10" s="7" t="s">
        <v>68</v>
      </c>
      <c r="AL10" s="7">
        <v>4.0</v>
      </c>
      <c r="AM10" s="7">
        <v>4.0</v>
      </c>
      <c r="AN10" s="7">
        <v>2.0</v>
      </c>
      <c r="AO10" s="7">
        <v>2.0</v>
      </c>
      <c r="AP10" s="7">
        <v>4.0</v>
      </c>
      <c r="AQ10" s="7">
        <v>2.0</v>
      </c>
      <c r="AR10" s="7">
        <v>1.0</v>
      </c>
      <c r="AS10" s="7">
        <v>2.0</v>
      </c>
      <c r="AT10" s="7">
        <v>2.0</v>
      </c>
      <c r="AU10" s="7">
        <v>2.0</v>
      </c>
      <c r="AV10" s="7">
        <v>4.0</v>
      </c>
      <c r="AW10" s="7">
        <v>3.0</v>
      </c>
      <c r="AX10" s="7">
        <v>4.0</v>
      </c>
      <c r="AY10" s="7">
        <v>2.0</v>
      </c>
      <c r="AZ10" s="7">
        <v>4.0</v>
      </c>
      <c r="BA10" s="7">
        <v>2.0</v>
      </c>
      <c r="BB10" s="7" t="s">
        <v>70</v>
      </c>
      <c r="BC10" s="7">
        <v>6.0</v>
      </c>
      <c r="BD10" s="7">
        <v>7.0</v>
      </c>
    </row>
    <row r="11" ht="22.5" customHeight="1">
      <c r="A11" s="6">
        <v>46026.980990578704</v>
      </c>
      <c r="B11" s="7" t="s">
        <v>57</v>
      </c>
      <c r="C11" s="7" t="s">
        <v>58</v>
      </c>
      <c r="D11" s="7" t="s">
        <v>58</v>
      </c>
      <c r="E11" s="7" t="s">
        <v>59</v>
      </c>
      <c r="F11" s="7" t="s">
        <v>60</v>
      </c>
      <c r="G11" s="7" t="s">
        <v>61</v>
      </c>
      <c r="H11" s="7" t="s">
        <v>60</v>
      </c>
      <c r="I11" s="7" t="s">
        <v>60</v>
      </c>
      <c r="J11" s="7" t="s">
        <v>62</v>
      </c>
      <c r="K11" s="7" t="s">
        <v>63</v>
      </c>
      <c r="L11" s="7" t="s">
        <v>64</v>
      </c>
      <c r="M11" s="7" t="s">
        <v>65</v>
      </c>
      <c r="N11" s="7" t="s">
        <v>67</v>
      </c>
      <c r="O11" s="7" t="s">
        <v>58</v>
      </c>
      <c r="P11" s="7" t="s">
        <v>58</v>
      </c>
      <c r="Q11" s="7" t="s">
        <v>66</v>
      </c>
      <c r="R11" s="7" t="s">
        <v>67</v>
      </c>
      <c r="S11" s="7" t="s">
        <v>58</v>
      </c>
      <c r="T11" s="7" t="s">
        <v>67</v>
      </c>
      <c r="U11" s="7" t="s">
        <v>67</v>
      </c>
      <c r="V11" s="7" t="s">
        <v>58</v>
      </c>
      <c r="W11" s="7" t="s">
        <v>67</v>
      </c>
      <c r="X11" s="7" t="s">
        <v>67</v>
      </c>
      <c r="Y11" s="7" t="s">
        <v>66</v>
      </c>
      <c r="Z11" s="7" t="s">
        <v>67</v>
      </c>
      <c r="AA11" s="7" t="s">
        <v>67</v>
      </c>
      <c r="AB11" s="7" t="s">
        <v>67</v>
      </c>
      <c r="AC11" s="7" t="s">
        <v>66</v>
      </c>
      <c r="AD11" s="7" t="s">
        <v>58</v>
      </c>
      <c r="AE11" s="7" t="s">
        <v>67</v>
      </c>
      <c r="AF11" s="7" t="s">
        <v>67</v>
      </c>
      <c r="AG11" s="7" t="s">
        <v>67</v>
      </c>
      <c r="AH11" s="7" t="s">
        <v>67</v>
      </c>
      <c r="AI11" s="7" t="s">
        <v>72</v>
      </c>
      <c r="AJ11" s="7" t="s">
        <v>69</v>
      </c>
      <c r="AK11" s="7" t="s">
        <v>69</v>
      </c>
      <c r="AL11" s="7">
        <v>3.0</v>
      </c>
      <c r="AM11" s="7">
        <v>3.0</v>
      </c>
      <c r="AN11" s="7">
        <v>1.0</v>
      </c>
      <c r="AO11" s="7">
        <v>3.0</v>
      </c>
      <c r="AP11" s="7">
        <v>3.0</v>
      </c>
      <c r="AQ11" s="7">
        <v>4.0</v>
      </c>
      <c r="AR11" s="7">
        <v>2.0</v>
      </c>
      <c r="AS11" s="7">
        <v>2.0</v>
      </c>
      <c r="AT11" s="7">
        <v>2.0</v>
      </c>
      <c r="AU11" s="7">
        <v>3.0</v>
      </c>
      <c r="AV11" s="7">
        <v>1.0</v>
      </c>
      <c r="AW11" s="7">
        <v>2.0</v>
      </c>
      <c r="AX11" s="7">
        <v>1.0</v>
      </c>
      <c r="AY11" s="7">
        <v>2.0</v>
      </c>
      <c r="AZ11" s="7">
        <v>1.0</v>
      </c>
      <c r="BA11" s="7">
        <v>2.0</v>
      </c>
      <c r="BB11" s="7" t="s">
        <v>70</v>
      </c>
      <c r="BC11" s="7">
        <v>4.0</v>
      </c>
      <c r="BD11" s="7">
        <v>8.0</v>
      </c>
      <c r="BE11" s="7" t="s">
        <v>234</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